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5.xml" ContentType="application/vnd.openxmlformats-officedocument.drawingml.chart+xml"/>
  <Override PartName="/xl/drawings/drawing3.xml" ContentType="application/vnd.openxmlformats-officedocument.drawingml.chartshape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ml.chartshapes+xml"/>
  <Override PartName="/xl/charts/chart1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zad-my.sharepoint.com/personal/arif_zad_qa/Documents/11. IT Team Sharing/Shagufta Parween/Treasury Dashboard/"/>
    </mc:Choice>
  </mc:AlternateContent>
  <xr:revisionPtr revIDLastSave="921" documentId="8_{F85C8A4E-8827-4F43-983A-AD1C53A09B70}" xr6:coauthVersionLast="47" xr6:coauthVersionMax="47" xr10:uidLastSave="{E93D0542-7A1A-4F86-89F3-EF41C178CD0C}"/>
  <bookViews>
    <workbookView xWindow="-108" yWindow="-108" windowWidth="23256" windowHeight="13896" activeTab="1" xr2:uid="{D51AF5F1-43A9-422C-929C-7D8700FC7FE9}"/>
  </bookViews>
  <sheets>
    <sheet name="Treasury Dashboard FNL" sheetId="1" r:id="rId1"/>
    <sheet name="1. Funds position" sheetId="9" r:id="rId2"/>
    <sheet name="2. Cash flow" sheetId="6" r:id="rId3"/>
    <sheet name="3. Working capital" sheetId="5" r:id="rId4"/>
    <sheet name="4. Loan" sheetId="4" r:id="rId5"/>
    <sheet name="5. Debt &amp; Equity" sheetId="3" r:id="rId6"/>
    <sheet name="6. Loan movement" sheetId="2" r:id="rId7"/>
    <sheet name="7. Cash flow unit wise detailed" sheetId="8" r:id="rId8"/>
    <sheet name="HSBC - CAD" sheetId="10" r:id="rId9"/>
    <sheet name="HSBC - USD" sheetId="11" r:id="rId10"/>
    <sheet name="UBS - CAD" sheetId="12" r:id="rId11"/>
    <sheet name="UBS - USD" sheetId="13" r:id="rId12"/>
    <sheet name="ZAD-0222-0168686-001-0010-000" sheetId="14" r:id="rId13"/>
    <sheet name="AUTO M-100002593758" sheetId="15" r:id="rId14"/>
    <sheet name="NFC-100000792904" sheetId="16" r:id="rId15"/>
    <sheet name="USB-100001870634" sheetId="17" r:id="rId16"/>
    <sheet name="USB-100001870621" sheetId="18" r:id="rId17"/>
    <sheet name="USB-100000792506" sheetId="19" r:id="rId18"/>
    <sheet name="ALC-100000841415" sheetId="20" r:id="rId19"/>
    <sheet name="ASP-100001845559" sheetId="21" r:id="rId20"/>
    <sheet name="AMC-100001872603" sheetId="22" r:id="rId21"/>
    <sheet name="AMC-100000819104" sheetId="23" r:id="rId22"/>
    <sheet name="QFT-100001870728" sheetId="24" r:id="rId23"/>
    <sheet name="QFM-1000001870702" sheetId="25" r:id="rId24"/>
    <sheet name="QFM-100001870618" sheetId="26" r:id="rId25"/>
    <sheet name="QFM-100000832880" sheetId="27" r:id="rId26"/>
    <sheet name="QFT-100000185812" sheetId="28" r:id="rId27"/>
    <sheet name="ZAD-200001066225" sheetId="29" r:id="rId28"/>
    <sheet name="ZAD-200000597452" sheetId="30" r:id="rId29"/>
    <sheet name="ZAD-1000002781078" sheetId="31" r:id="rId30"/>
    <sheet name="ZAD-100000484005" sheetId="32" r:id="rId31"/>
    <sheet name="ZAD-100000182792" sheetId="33" r:id="rId32"/>
    <sheet name="ZAD-0003177700001" sheetId="34" r:id="rId33"/>
    <sheet name="ZAD-0003177700004" sheetId="35" r:id="rId34"/>
    <sheet name="ZAD-11941000032" sheetId="36" r:id="rId35"/>
    <sheet name="ZAD-29000000712" sheetId="37" r:id="rId36"/>
    <sheet name="ZAD-19120001103" sheetId="38" r:id="rId37"/>
    <sheet name="ZAD-0111051730026" sheetId="39" r:id="rId38"/>
    <sheet name="QFI-100001870692" sheetId="40" r:id="rId39"/>
    <sheet name="QFI-100001870689" sheetId="41" r:id="rId40"/>
    <sheet name="QFI-100000832877" sheetId="42" r:id="rId41"/>
    <sheet name="QFI-100000780301" sheetId="43" r:id="rId42"/>
    <sheet name="UNB-100001798347" sheetId="44" r:id="rId43"/>
    <sheet name="ACC-100001870650" sheetId="45" r:id="rId44"/>
    <sheet name="ACC-100000827646" sheetId="46" r:id="rId45"/>
    <sheet name="ACC-100000279773" sheetId="47" r:id="rId46"/>
    <sheet name="ACC-100001870647" sheetId="48" r:id="rId47"/>
    <sheet name="GUC-100000824416" sheetId="49" r:id="rId48"/>
  </sheets>
  <definedNames>
    <definedName name="_xlnm._FilterDatabase" localSheetId="12" hidden="1">'ZAD-0222-0168686-001-0010-000'!$A$6:$G$6</definedName>
    <definedName name="_xlnm.Print_Area" localSheetId="0">'Treasury Dashboard FNL'!$A$1:$Q$321</definedName>
    <definedName name="_xlnm.Print_Titles" localSheetId="0">'Treasury Dashboard FNL'!$2:$6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4" l="1"/>
  <c r="G7" i="14"/>
  <c r="B2" i="14" s="1"/>
  <c r="G10" i="9" s="1"/>
  <c r="G21" i="49"/>
  <c r="B2" i="49" s="1"/>
  <c r="G19" i="9" s="1"/>
  <c r="C85" i="9" s="1"/>
  <c r="G21" i="48"/>
  <c r="B2" i="48" s="1"/>
  <c r="E55" i="9" s="1"/>
  <c r="G55" i="9" s="1"/>
  <c r="G21" i="47"/>
  <c r="B2" i="47" s="1"/>
  <c r="G15" i="9" s="1"/>
  <c r="B2" i="46"/>
  <c r="G21" i="45"/>
  <c r="B2" i="45" s="1"/>
  <c r="E45" i="9" s="1"/>
  <c r="G21" i="44"/>
  <c r="B2" i="44" s="1"/>
  <c r="G26" i="9" s="1"/>
  <c r="G21" i="43"/>
  <c r="B2" i="43" s="1"/>
  <c r="G23" i="9" s="1"/>
  <c r="C82" i="9" s="1"/>
  <c r="G21" i="42"/>
  <c r="B2" i="42" s="1"/>
  <c r="G24" i="9" s="1"/>
  <c r="G21" i="41"/>
  <c r="B2" i="41" s="1"/>
  <c r="E54" i="9" s="1"/>
  <c r="G54" i="9" s="1"/>
  <c r="G21" i="40"/>
  <c r="B2" i="40"/>
  <c r="F9" i="39"/>
  <c r="B2" i="39" s="1"/>
  <c r="G34" i="9" s="1"/>
  <c r="H8" i="38"/>
  <c r="B2" i="38" s="1"/>
  <c r="E63" i="9" s="1"/>
  <c r="B2" i="37"/>
  <c r="H8" i="36"/>
  <c r="B2" i="36"/>
  <c r="I10" i="35"/>
  <c r="B2" i="35" s="1"/>
  <c r="E60" i="9" s="1"/>
  <c r="H7" i="35"/>
  <c r="I10" i="34"/>
  <c r="H7" i="34"/>
  <c r="B2" i="34" s="1"/>
  <c r="G36" i="9" s="1"/>
  <c r="G21" i="33"/>
  <c r="B2" i="33"/>
  <c r="G21" i="32"/>
  <c r="B2" i="32"/>
  <c r="B2" i="31"/>
  <c r="G21" i="30"/>
  <c r="B2" i="30" s="1"/>
  <c r="G32" i="9" s="1"/>
  <c r="G21" i="29"/>
  <c r="B2" i="29" s="1"/>
  <c r="G31" i="9" s="1"/>
  <c r="G21" i="28"/>
  <c r="B2" i="28"/>
  <c r="G21" i="27"/>
  <c r="B2" i="27" s="1"/>
  <c r="G22" i="9" s="1"/>
  <c r="G21" i="26"/>
  <c r="B2" i="26" s="1"/>
  <c r="E48" i="9" s="1"/>
  <c r="G48" i="9" s="1"/>
  <c r="B2" i="25"/>
  <c r="G21" i="24"/>
  <c r="B2" i="24"/>
  <c r="G21" i="23"/>
  <c r="B2" i="23"/>
  <c r="B2" i="22"/>
  <c r="B2" i="21"/>
  <c r="B2" i="20"/>
  <c r="B2" i="19"/>
  <c r="B2" i="18"/>
  <c r="B2" i="17"/>
  <c r="G21" i="16"/>
  <c r="B2" i="16"/>
  <c r="B2" i="15"/>
  <c r="G12" i="13"/>
  <c r="G11" i="13"/>
  <c r="B2" i="13" s="1"/>
  <c r="E70" i="9" s="1"/>
  <c r="G12" i="12"/>
  <c r="B2" i="12"/>
  <c r="E10" i="11"/>
  <c r="H7" i="11"/>
  <c r="B2" i="11"/>
  <c r="K7" i="10"/>
  <c r="B2" i="10"/>
  <c r="C106" i="9"/>
  <c r="E74" i="9"/>
  <c r="G74" i="9" s="1"/>
  <c r="E73" i="9"/>
  <c r="G73" i="9" s="1"/>
  <c r="G72" i="9"/>
  <c r="E71" i="9"/>
  <c r="G71" i="9" s="1"/>
  <c r="A65" i="9"/>
  <c r="G64" i="9"/>
  <c r="G62" i="9"/>
  <c r="E58" i="9"/>
  <c r="G58" i="9" s="1"/>
  <c r="E57" i="9"/>
  <c r="G57" i="9" s="1"/>
  <c r="E52" i="9"/>
  <c r="G52" i="9" s="1"/>
  <c r="E51" i="9"/>
  <c r="G51" i="9" s="1"/>
  <c r="E50" i="9"/>
  <c r="G50" i="9" s="1"/>
  <c r="E49" i="9"/>
  <c r="G49" i="9" s="1"/>
  <c r="C83" i="9" s="1"/>
  <c r="G46" i="9"/>
  <c r="E46" i="9"/>
  <c r="E44" i="9"/>
  <c r="G44" i="9" s="1"/>
  <c r="G42" i="9"/>
  <c r="G41" i="9"/>
  <c r="G29" i="9"/>
  <c r="G28" i="9"/>
  <c r="G25" i="9"/>
  <c r="G21" i="9"/>
  <c r="G20" i="9"/>
  <c r="G18" i="9"/>
  <c r="G17" i="9"/>
  <c r="G16" i="9"/>
  <c r="G14" i="9"/>
  <c r="A9" i="9"/>
  <c r="C7" i="2"/>
  <c r="C31" i="2"/>
  <c r="C41" i="5"/>
  <c r="C104" i="9" l="1"/>
  <c r="G63" i="9"/>
  <c r="G70" i="9"/>
  <c r="C105" i="9"/>
  <c r="C94" i="9"/>
  <c r="G76" i="9"/>
  <c r="C115" i="9" s="1"/>
  <c r="C118" i="9" s="1"/>
  <c r="C107" i="9"/>
  <c r="G60" i="9"/>
  <c r="C103" i="9"/>
  <c r="G45" i="9"/>
  <c r="C84" i="9"/>
  <c r="C81" i="9"/>
  <c r="C86" i="9" s="1"/>
  <c r="A10" i="9"/>
  <c r="C96" i="9"/>
  <c r="C97" i="9"/>
  <c r="C92" i="9"/>
  <c r="A3" i="3"/>
  <c r="B3" i="4"/>
  <c r="C67" i="2"/>
  <c r="C68" i="2"/>
  <c r="C69" i="2"/>
  <c r="C70" i="2"/>
  <c r="C66" i="2"/>
  <c r="C60" i="2"/>
  <c r="C59" i="2"/>
  <c r="C58" i="2"/>
  <c r="D50" i="2"/>
  <c r="D48" i="2"/>
  <c r="D49" i="2" s="1"/>
  <c r="E49" i="2" s="1"/>
  <c r="D47" i="2"/>
  <c r="E46" i="2"/>
  <c r="E47" i="2"/>
  <c r="E45" i="2"/>
  <c r="E20" i="2"/>
  <c r="C10" i="2"/>
  <c r="C34" i="2" s="1"/>
  <c r="C9" i="2"/>
  <c r="C33" i="2" s="1"/>
  <c r="F43" i="3"/>
  <c r="E43" i="3"/>
  <c r="D43" i="3"/>
  <c r="C44" i="3"/>
  <c r="C43" i="3"/>
  <c r="F42" i="3"/>
  <c r="E42" i="3"/>
  <c r="D42" i="3"/>
  <c r="C42" i="3"/>
  <c r="E34" i="3"/>
  <c r="F34" i="3" s="1"/>
  <c r="F44" i="3" s="1"/>
  <c r="D34" i="3"/>
  <c r="D44" i="3" s="1"/>
  <c r="F30" i="3"/>
  <c r="E30" i="3"/>
  <c r="D30" i="3"/>
  <c r="C30" i="3"/>
  <c r="O25" i="4"/>
  <c r="P25" i="4" s="1"/>
  <c r="Q25" i="4" s="1"/>
  <c r="R25" i="4" s="1"/>
  <c r="S25" i="4" s="1"/>
  <c r="N24" i="4"/>
  <c r="O24" i="4" s="1"/>
  <c r="P24" i="4" s="1"/>
  <c r="O23" i="4"/>
  <c r="P23" i="4" s="1"/>
  <c r="N23" i="4"/>
  <c r="N21" i="4"/>
  <c r="P28" i="4"/>
  <c r="Q28" i="4" s="1"/>
  <c r="R28" i="4" s="1"/>
  <c r="S28" i="4" s="1"/>
  <c r="T28" i="4" s="1"/>
  <c r="D22" i="4"/>
  <c r="D23" i="4" s="1"/>
  <c r="D24" i="4" s="1"/>
  <c r="H40" i="4"/>
  <c r="H39" i="4"/>
  <c r="H38" i="4"/>
  <c r="H37" i="4"/>
  <c r="H36" i="4"/>
  <c r="G36" i="4"/>
  <c r="G38" i="4" s="1"/>
  <c r="G40" i="4" s="1"/>
  <c r="F35" i="4"/>
  <c r="F36" i="4"/>
  <c r="F37" i="4"/>
  <c r="F38" i="4"/>
  <c r="F39" i="4"/>
  <c r="F40" i="4"/>
  <c r="F34" i="4"/>
  <c r="E37" i="4"/>
  <c r="E38" i="4"/>
  <c r="E39" i="4"/>
  <c r="E40" i="4"/>
  <c r="E36" i="4"/>
  <c r="E35" i="4"/>
  <c r="E34" i="4"/>
  <c r="F33" i="4"/>
  <c r="E33" i="4"/>
  <c r="G10" i="5"/>
  <c r="G11" i="5"/>
  <c r="F12" i="5"/>
  <c r="G12" i="5" s="1"/>
  <c r="F13" i="5"/>
  <c r="F14" i="5"/>
  <c r="G14" i="5"/>
  <c r="F15" i="5"/>
  <c r="G15" i="5" s="1"/>
  <c r="F16" i="5"/>
  <c r="G16" i="5"/>
  <c r="C17" i="5"/>
  <c r="D17" i="5"/>
  <c r="E17" i="5"/>
  <c r="C11" i="6"/>
  <c r="C10" i="6"/>
  <c r="I47" i="3"/>
  <c r="C14" i="3"/>
  <c r="C42" i="5"/>
  <c r="C25" i="3"/>
  <c r="D25" i="3"/>
  <c r="E25" i="3"/>
  <c r="F25" i="3"/>
  <c r="E16" i="4"/>
  <c r="D16" i="4"/>
  <c r="C16" i="4"/>
  <c r="C108" i="9" l="1"/>
  <c r="C93" i="9"/>
  <c r="C91" i="9"/>
  <c r="C95" i="9"/>
  <c r="E44" i="3"/>
  <c r="F17" i="5"/>
  <c r="G13" i="5"/>
  <c r="G17" i="5" s="1"/>
  <c r="E48" i="2"/>
  <c r="Q24" i="4"/>
  <c r="R24" i="4" s="1"/>
  <c r="E10" i="6"/>
  <c r="F10" i="6" s="1"/>
  <c r="E107" i="5"/>
  <c r="D99" i="5" s="1"/>
  <c r="C107" i="5"/>
  <c r="D97" i="5" s="1"/>
  <c r="E106" i="5"/>
  <c r="D106" i="5"/>
  <c r="D98" i="5" s="1"/>
  <c r="D113" i="5" s="1"/>
  <c r="C106" i="5"/>
  <c r="E105" i="5"/>
  <c r="D87" i="5" s="1"/>
  <c r="D93" i="5"/>
  <c r="C93" i="5"/>
  <c r="D56" i="5"/>
  <c r="D55" i="5"/>
  <c r="D54" i="5"/>
  <c r="D49" i="5"/>
  <c r="E79" i="5"/>
  <c r="E114" i="5" s="1"/>
  <c r="E77" i="5"/>
  <c r="C77" i="5"/>
  <c r="E76" i="5"/>
  <c r="E113" i="5" s="1"/>
  <c r="D76" i="5"/>
  <c r="F12" i="4" s="1"/>
  <c r="C8" i="2" s="1"/>
  <c r="C32" i="2" s="1"/>
  <c r="C35" i="2" s="1"/>
  <c r="C76" i="5"/>
  <c r="C113" i="5" s="1"/>
  <c r="E75" i="5"/>
  <c r="D75" i="5"/>
  <c r="E69" i="5"/>
  <c r="E67" i="5"/>
  <c r="E63" i="5"/>
  <c r="D62" i="5"/>
  <c r="C61" i="5"/>
  <c r="C92" i="5" s="1"/>
  <c r="C60" i="5"/>
  <c r="C91" i="5" s="1"/>
  <c r="E57" i="5"/>
  <c r="C56" i="5"/>
  <c r="C54" i="5"/>
  <c r="E50" i="5"/>
  <c r="C49" i="5"/>
  <c r="C48" i="5"/>
  <c r="D47" i="5"/>
  <c r="C47" i="5"/>
  <c r="E44" i="5"/>
  <c r="D43" i="5"/>
  <c r="C43" i="5"/>
  <c r="D42" i="5"/>
  <c r="D41" i="5"/>
  <c r="F37" i="5"/>
  <c r="E36" i="5"/>
  <c r="C36" i="5"/>
  <c r="F35" i="5"/>
  <c r="D34" i="5"/>
  <c r="F34" i="5" s="1"/>
  <c r="D33" i="5"/>
  <c r="F33" i="5" s="1"/>
  <c r="I41" i="4"/>
  <c r="K28" i="4"/>
  <c r="V28" i="4" s="1"/>
  <c r="G28" i="4"/>
  <c r="U26" i="4"/>
  <c r="U29" i="4" s="1"/>
  <c r="T26" i="4"/>
  <c r="S26" i="4"/>
  <c r="I26" i="4"/>
  <c r="I29" i="4" s="1"/>
  <c r="D26" i="4"/>
  <c r="D29" i="4" s="1"/>
  <c r="K25" i="4"/>
  <c r="R26" i="4"/>
  <c r="Q26" i="4"/>
  <c r="P26" i="4"/>
  <c r="O26" i="4"/>
  <c r="N26" i="4"/>
  <c r="M26" i="4"/>
  <c r="M29" i="4" s="1"/>
  <c r="L24" i="4"/>
  <c r="K24" i="4"/>
  <c r="C15" i="2" s="1"/>
  <c r="F15" i="2" s="1"/>
  <c r="I15" i="2" s="1"/>
  <c r="L15" i="2" s="1"/>
  <c r="O15" i="2" s="1"/>
  <c r="K23" i="4"/>
  <c r="C17" i="2" s="1"/>
  <c r="K22" i="4"/>
  <c r="K21" i="4"/>
  <c r="M20" i="4"/>
  <c r="D48" i="5"/>
  <c r="G43" i="3"/>
  <c r="B17" i="3"/>
  <c r="J47" i="3"/>
  <c r="K47" i="3" s="1"/>
  <c r="G44" i="3" s="1"/>
  <c r="F41" i="3"/>
  <c r="F45" i="3" s="1"/>
  <c r="E41" i="3"/>
  <c r="E45" i="3" s="1"/>
  <c r="D41" i="3"/>
  <c r="D45" i="3" s="1"/>
  <c r="C41" i="3"/>
  <c r="C45" i="3" s="1"/>
  <c r="G39" i="3"/>
  <c r="F31" i="3"/>
  <c r="F35" i="3" s="1"/>
  <c r="E31" i="3"/>
  <c r="E35" i="3" s="1"/>
  <c r="D31" i="3"/>
  <c r="D35" i="3" s="1"/>
  <c r="C31" i="3"/>
  <c r="C35" i="3" s="1"/>
  <c r="D71" i="2"/>
  <c r="C71" i="2"/>
  <c r="D61" i="2"/>
  <c r="C61" i="2"/>
  <c r="E50" i="2"/>
  <c r="C50" i="2"/>
  <c r="E34" i="2"/>
  <c r="G25" i="2"/>
  <c r="E25" i="2"/>
  <c r="D25" i="2"/>
  <c r="C25" i="2"/>
  <c r="N24" i="2"/>
  <c r="N25" i="2" s="1"/>
  <c r="M24" i="2"/>
  <c r="M25" i="2" s="1"/>
  <c r="K24" i="2"/>
  <c r="K25" i="2" s="1"/>
  <c r="J24" i="2"/>
  <c r="J25" i="2" s="1"/>
  <c r="H24" i="2"/>
  <c r="F24" i="2"/>
  <c r="L23" i="2"/>
  <c r="O23" i="2" s="1"/>
  <c r="F23" i="2"/>
  <c r="N21" i="2"/>
  <c r="M21" i="2"/>
  <c r="K21" i="2"/>
  <c r="J21" i="2"/>
  <c r="H21" i="2"/>
  <c r="G21" i="2"/>
  <c r="E21" i="2"/>
  <c r="E26" i="2" s="1"/>
  <c r="D21" i="2"/>
  <c r="F20" i="2"/>
  <c r="I20" i="2" s="1"/>
  <c r="L20" i="2" s="1"/>
  <c r="O20" i="2" s="1"/>
  <c r="F18" i="2"/>
  <c r="I18" i="2" s="1"/>
  <c r="L18" i="2" s="1"/>
  <c r="O18" i="2" s="1"/>
  <c r="F17" i="2"/>
  <c r="I17" i="2" s="1"/>
  <c r="L17" i="2" s="1"/>
  <c r="O17" i="2" s="1"/>
  <c r="N12" i="2"/>
  <c r="M12" i="2"/>
  <c r="K12" i="2"/>
  <c r="J12" i="2"/>
  <c r="J22" i="2" s="1"/>
  <c r="H12" i="2"/>
  <c r="G12" i="2"/>
  <c r="E12" i="2"/>
  <c r="D12" i="2"/>
  <c r="F11" i="2"/>
  <c r="I11" i="2" s="1"/>
  <c r="L11" i="2" s="1"/>
  <c r="O11" i="2" s="1"/>
  <c r="F10" i="2"/>
  <c r="I10" i="2" s="1"/>
  <c r="L10" i="2" s="1"/>
  <c r="O10" i="2" s="1"/>
  <c r="F9" i="2"/>
  <c r="I9" i="2" s="1"/>
  <c r="L9" i="2" s="1"/>
  <c r="O9" i="2" s="1"/>
  <c r="F7" i="2"/>
  <c r="K240" i="1"/>
  <c r="E235" i="1"/>
  <c r="AB56" i="1"/>
  <c r="AK7" i="1"/>
  <c r="C98" i="9" l="1"/>
  <c r="V25" i="4"/>
  <c r="C19" i="2"/>
  <c r="F19" i="2" s="1"/>
  <c r="I19" i="2" s="1"/>
  <c r="L19" i="2" s="1"/>
  <c r="O19" i="2" s="1"/>
  <c r="C14" i="2"/>
  <c r="V21" i="4"/>
  <c r="V22" i="4"/>
  <c r="C16" i="2"/>
  <c r="D31" i="2"/>
  <c r="V23" i="4"/>
  <c r="V24" i="4"/>
  <c r="E70" i="5"/>
  <c r="F8" i="2"/>
  <c r="I8" i="2" s="1"/>
  <c r="L8" i="2" s="1"/>
  <c r="O8" i="2" s="1"/>
  <c r="C12" i="2"/>
  <c r="G26" i="2"/>
  <c r="K22" i="2"/>
  <c r="N22" i="2"/>
  <c r="D26" i="2"/>
  <c r="I24" i="2"/>
  <c r="L24" i="2" s="1"/>
  <c r="O24" i="2" s="1"/>
  <c r="M22" i="2"/>
  <c r="D22" i="2"/>
  <c r="C85" i="5"/>
  <c r="F47" i="5"/>
  <c r="F41" i="5"/>
  <c r="C97" i="5"/>
  <c r="F43" i="5"/>
  <c r="C35" i="4"/>
  <c r="G41" i="4"/>
  <c r="C33" i="4"/>
  <c r="C38" i="4"/>
  <c r="C37" i="4"/>
  <c r="L26" i="4"/>
  <c r="L29" i="4" s="1"/>
  <c r="C39" i="4"/>
  <c r="C40" i="4"/>
  <c r="C34" i="4"/>
  <c r="J26" i="4"/>
  <c r="J29" i="4" s="1"/>
  <c r="H41" i="4"/>
  <c r="K26" i="4"/>
  <c r="C36" i="4"/>
  <c r="F49" i="5"/>
  <c r="D77" i="5"/>
  <c r="D50" i="5"/>
  <c r="F48" i="5"/>
  <c r="D36" i="5"/>
  <c r="F36" i="5" s="1"/>
  <c r="C69" i="5"/>
  <c r="C94" i="5"/>
  <c r="D100" i="5"/>
  <c r="F56" i="5"/>
  <c r="C87" i="5"/>
  <c r="D44" i="5"/>
  <c r="C55" i="5"/>
  <c r="C57" i="5" s="1"/>
  <c r="E11" i="6"/>
  <c r="F11" i="6" s="1"/>
  <c r="D12" i="6"/>
  <c r="C12" i="6"/>
  <c r="F54" i="5"/>
  <c r="D57" i="5"/>
  <c r="D67" i="5"/>
  <c r="C44" i="5"/>
  <c r="C98" i="5"/>
  <c r="F42" i="5"/>
  <c r="F41" i="4"/>
  <c r="C78" i="5"/>
  <c r="E9" i="6"/>
  <c r="F60" i="5"/>
  <c r="E108" i="5"/>
  <c r="E22" i="2"/>
  <c r="F25" i="2"/>
  <c r="M26" i="2"/>
  <c r="G22" i="2"/>
  <c r="N26" i="2"/>
  <c r="D69" i="5"/>
  <c r="D78" i="5"/>
  <c r="F28" i="5"/>
  <c r="N20" i="4"/>
  <c r="D28" i="5"/>
  <c r="H26" i="2"/>
  <c r="D61" i="5"/>
  <c r="C67" i="5"/>
  <c r="C50" i="5"/>
  <c r="I7" i="2"/>
  <c r="E41" i="4"/>
  <c r="H22" i="2"/>
  <c r="H25" i="2"/>
  <c r="C63" i="5"/>
  <c r="E78" i="5"/>
  <c r="E80" i="5" s="1"/>
  <c r="E112" i="5" s="1"/>
  <c r="E115" i="5" s="1"/>
  <c r="J26" i="2"/>
  <c r="C75" i="5"/>
  <c r="C79" i="5"/>
  <c r="C114" i="5" s="1"/>
  <c r="C105" i="5"/>
  <c r="D85" i="5" s="1"/>
  <c r="K26" i="2"/>
  <c r="D105" i="5"/>
  <c r="G18" i="3"/>
  <c r="I18" i="3" s="1"/>
  <c r="G24" i="3" s="1"/>
  <c r="C99" i="5"/>
  <c r="F62" i="5"/>
  <c r="E31" i="2" l="1"/>
  <c r="D33" i="2"/>
  <c r="E33" i="2" s="1"/>
  <c r="F16" i="2"/>
  <c r="I16" i="2" s="1"/>
  <c r="L16" i="2" s="1"/>
  <c r="O16" i="2" s="1"/>
  <c r="F14" i="2"/>
  <c r="D32" i="2"/>
  <c r="E32" i="2" s="1"/>
  <c r="C21" i="2"/>
  <c r="C22" i="2" s="1"/>
  <c r="C26" i="2"/>
  <c r="F12" i="2"/>
  <c r="I25" i="2"/>
  <c r="K29" i="4"/>
  <c r="C12" i="3"/>
  <c r="F50" i="5"/>
  <c r="F69" i="5"/>
  <c r="F57" i="5"/>
  <c r="C68" i="5"/>
  <c r="C70" i="5" s="1"/>
  <c r="F44" i="5"/>
  <c r="F55" i="5"/>
  <c r="C86" i="5"/>
  <c r="C88" i="5" s="1"/>
  <c r="G32" i="3"/>
  <c r="G42" i="3" s="1"/>
  <c r="G41" i="3" s="1"/>
  <c r="N29" i="4"/>
  <c r="O20" i="4"/>
  <c r="C80" i="5"/>
  <c r="C112" i="5" s="1"/>
  <c r="C115" i="5" s="1"/>
  <c r="C100" i="5"/>
  <c r="L25" i="2"/>
  <c r="O25" i="2"/>
  <c r="D107" i="5"/>
  <c r="D92" i="5" s="1"/>
  <c r="D94" i="5" s="1"/>
  <c r="D79" i="5"/>
  <c r="D114" i="5" s="1"/>
  <c r="D68" i="5"/>
  <c r="D70" i="5" s="1"/>
  <c r="D63" i="5"/>
  <c r="F63" i="5" s="1"/>
  <c r="F61" i="5"/>
  <c r="F67" i="5"/>
  <c r="F9" i="6"/>
  <c r="E12" i="6"/>
  <c r="D86" i="5"/>
  <c r="I12" i="2"/>
  <c r="L7" i="2"/>
  <c r="E28" i="5"/>
  <c r="C108" i="5"/>
  <c r="D35" i="2" l="1"/>
  <c r="E35" i="2"/>
  <c r="I14" i="2"/>
  <c r="F21" i="2"/>
  <c r="G31" i="3"/>
  <c r="D88" i="5"/>
  <c r="D80" i="5"/>
  <c r="D112" i="5" s="1"/>
  <c r="D115" i="5" s="1"/>
  <c r="F70" i="5"/>
  <c r="L12" i="2"/>
  <c r="O7" i="2"/>
  <c r="O12" i="2" s="1"/>
  <c r="D108" i="5"/>
  <c r="O29" i="4"/>
  <c r="P20" i="4"/>
  <c r="F22" i="2" l="1"/>
  <c r="F26" i="2"/>
  <c r="I21" i="2"/>
  <c r="L14" i="2"/>
  <c r="P29" i="4"/>
  <c r="Q20" i="4"/>
  <c r="O14" i="2" l="1"/>
  <c r="O21" i="2" s="1"/>
  <c r="L21" i="2"/>
  <c r="I26" i="2"/>
  <c r="I22" i="2"/>
  <c r="F16" i="4"/>
  <c r="C11" i="3" s="1"/>
  <c r="C15" i="3" s="1"/>
  <c r="G23" i="3" s="1"/>
  <c r="Q29" i="4"/>
  <c r="R20" i="4"/>
  <c r="L22" i="2" l="1"/>
  <c r="L26" i="2"/>
  <c r="O26" i="2"/>
  <c r="O22" i="2"/>
  <c r="G25" i="3"/>
  <c r="G30" i="3"/>
  <c r="S20" i="4"/>
  <c r="R29" i="4"/>
  <c r="G40" i="3" l="1"/>
  <c r="G45" i="3" s="1"/>
  <c r="G35" i="3"/>
  <c r="T20" i="4"/>
  <c r="T29" i="4" s="1"/>
  <c r="S29" i="4"/>
</calcChain>
</file>

<file path=xl/sharedStrings.xml><?xml version="1.0" encoding="utf-8"?>
<sst xmlns="http://schemas.openxmlformats.org/spreadsheetml/2006/main" count="1968" uniqueCount="493">
  <si>
    <t xml:space="preserve">TREASURY DASHBOARD- </t>
  </si>
  <si>
    <t>( All Amount in Million QAR)</t>
  </si>
  <si>
    <t xml:space="preserve">Total Funds </t>
  </si>
  <si>
    <t>Amount</t>
  </si>
  <si>
    <t>Cash in Bank</t>
  </si>
  <si>
    <t xml:space="preserve">FUNDS POSITION </t>
  </si>
  <si>
    <t>BANK BALANCE IN QAR CURRENCY</t>
  </si>
  <si>
    <t xml:space="preserve"> </t>
  </si>
  <si>
    <t xml:space="preserve">        </t>
  </si>
  <si>
    <t>CASH FLOW  PROJECTION FOR THE PERIOD AUGUST 2026 TO OCTOBER 2026 EXCLUDING MURABAHA PAYMENTS</t>
  </si>
  <si>
    <r>
      <rPr>
        <b/>
        <sz val="11"/>
        <color rgb="FF92D050"/>
        <rFont val="Calibri"/>
        <family val="2"/>
        <scheme val="minor"/>
      </rPr>
      <t>Surplus</t>
    </r>
    <r>
      <rPr>
        <b/>
        <sz val="11"/>
        <color theme="1"/>
        <rFont val="Calibri"/>
        <family val="2"/>
        <scheme val="minor"/>
      </rPr>
      <t xml:space="preserve"> / </t>
    </r>
    <r>
      <rPr>
        <b/>
        <sz val="11"/>
        <color rgb="FFFF0000"/>
        <rFont val="Calibri"/>
        <family val="2"/>
        <scheme val="minor"/>
      </rPr>
      <t xml:space="preserve">(Deficit) </t>
    </r>
    <r>
      <rPr>
        <b/>
        <sz val="11"/>
        <rFont val="Calibri"/>
        <family val="2"/>
        <scheme val="minor"/>
      </rPr>
      <t>funds</t>
    </r>
  </si>
  <si>
    <t>This N column will be manually updated.</t>
  </si>
  <si>
    <t xml:space="preserve">WORKING CAPITAL FINANCE LIMITS AND UTILISATION </t>
  </si>
  <si>
    <t>LC &amp; Murabaha limits are sub limits of total facility limit</t>
  </si>
  <si>
    <t>REGION WISE FACILITY UTILISATION SUMMARY</t>
  </si>
  <si>
    <t>SHORT TERM LOAN  - REPAYMENT SCHEDULE &amp; CURRENT OUTSTANDING</t>
  </si>
  <si>
    <t xml:space="preserve">TERM LOAN POSITION FOR THE YEAR </t>
  </si>
  <si>
    <t>LONG TERM LOAN REPAYMENT</t>
  </si>
  <si>
    <t>This Note section will be manually updated.</t>
  </si>
  <si>
    <t>Note :-  As per the Management instruction , to increase the short term debt upto QR 510 Mn &amp; repay the long term loan . This strategy needs to be revisited under the current blockade situation .  Another option thought off was to find other bank to create additonal  facility in OMAN &amp; Kuwait . Bank from OMAN - Maisarah has quoted 5.51 % p.a for 180 days tenure murabaha.However working with foreign bank is not feasible under the current blocade scenario , as local bankers resist in making fund transfer to foreign banks.</t>
  </si>
  <si>
    <t>Values are in QAR MN</t>
  </si>
  <si>
    <t xml:space="preserve">SHORT TERM LOAN VS LONG TERM LOANS </t>
  </si>
  <si>
    <t>LIQUID ASSETS TO DEBT</t>
  </si>
  <si>
    <t>LIQUID ASSETS ON HISTORICAL COST</t>
  </si>
  <si>
    <t>LIQUID ASSETS ON MARKET VALUES</t>
  </si>
  <si>
    <r>
      <t xml:space="preserve">INVESTMENTS IN SHARE MARKET                                             </t>
    </r>
    <r>
      <rPr>
        <sz val="16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</si>
  <si>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Values are in Qatari Riyal  Millions . Foreign Market Share Price is considered as per Investment Department and Local Shares Market Price is considered as per QE </t>
  </si>
  <si>
    <t>INVESTMENT IN FIXED DEPOSITS</t>
  </si>
  <si>
    <t xml:space="preserve">1.Total Fixed Deposit </t>
  </si>
  <si>
    <t>FROM</t>
  </si>
  <si>
    <t>TO</t>
  </si>
  <si>
    <t>Renewal (R) / Placement (P)</t>
  </si>
  <si>
    <t>Maturity</t>
  </si>
  <si>
    <t>Rate ( In % )</t>
  </si>
  <si>
    <t>Amt</t>
  </si>
  <si>
    <t>(A) Fixed Deposit with Barwa Bank</t>
  </si>
  <si>
    <t>(N)</t>
  </si>
  <si>
    <t>1 Week</t>
  </si>
  <si>
    <t>(B) Fixed Deposit with Qatar First bank</t>
  </si>
  <si>
    <t>3 Months</t>
  </si>
  <si>
    <t>(C) Fixed Deposit with Barwa Bank</t>
  </si>
  <si>
    <t xml:space="preserve">Total </t>
  </si>
  <si>
    <t>INFORMATION ON DOLLAR AVAILABILITY</t>
  </si>
  <si>
    <t>PARTICULARS</t>
  </si>
  <si>
    <t xml:space="preserve">INFORMATION / ANALYSIS </t>
  </si>
  <si>
    <t>Scenario prior to blockade</t>
  </si>
  <si>
    <t xml:space="preserve">Availability - Sufficient , Exchange rate within Qatar - 3.6416 to 3.6418 , Exchange rate outside doha - 3.6416  to 3,6423 . Reason :- Regular flow dollar from blockade countries in the form of deposits , loans , investment etc </t>
  </si>
  <si>
    <t>During the initial month of blockade</t>
  </si>
  <si>
    <t>Availability -Temporary shortage , However no issue for Zad to get dollar  , Exchange rate within Qatar - 3.6416 to 3.6418 , Exchange rate outside qatar - 3.6475 to 3.6480 . Reason :- Withdrawal of deposit , early loan repayment , no new deposit or investment etc .</t>
  </si>
  <si>
    <t>Current scenario</t>
  </si>
  <si>
    <t>Zad dollar exposure with foreign banks</t>
  </si>
  <si>
    <t xml:space="preserve">ZAD foreiqn bank o/s :- USD 25.64 mn ( term loan ) &amp;  USD 27.34 ( GIB - loan ) + USD 20.19 mn  ( Mashreq loan ) + USD 9.4 mn ( LC payment not due ) = Total USD 82 mn . </t>
  </si>
  <si>
    <t>Zad dollar requirement - info currently how it is managed</t>
  </si>
  <si>
    <t xml:space="preserve">Risk to zad </t>
  </si>
  <si>
    <t>In case QCB doesn’t provide dollar to foreqign lender e.g Mashreq &amp; GIB , dollar have to purchased outside qatar or current maket rate of QR 3.82 , impact on account of it  will be QR 13.94 mn.</t>
  </si>
  <si>
    <t>Mitigation / solution</t>
  </si>
  <si>
    <t>Loan Summary</t>
  </si>
  <si>
    <t>Amount in QR Million</t>
  </si>
  <si>
    <t xml:space="preserve">Projected loan movement schedule </t>
  </si>
  <si>
    <t>Short Term Loans</t>
  </si>
  <si>
    <t>Loan outstanding as on 01-Aug-26</t>
  </si>
  <si>
    <t>Payment</t>
  </si>
  <si>
    <t>New Loan</t>
  </si>
  <si>
    <t>Balance</t>
  </si>
  <si>
    <t>Dukhan Bank (Loan + CL)</t>
  </si>
  <si>
    <t>Mashreq Al Islami</t>
  </si>
  <si>
    <t>UBS</t>
  </si>
  <si>
    <t>Al Rayyan</t>
  </si>
  <si>
    <t>QDB</t>
  </si>
  <si>
    <t>Total-A</t>
  </si>
  <si>
    <t>Long Term Loans</t>
  </si>
  <si>
    <t>Mashreq Al Islami # 1</t>
  </si>
  <si>
    <t>Mashreq Al Islami # 2</t>
  </si>
  <si>
    <t>Dukhan Bank # 1</t>
  </si>
  <si>
    <t>Commercial Bank</t>
  </si>
  <si>
    <t>Dukhan Bank # 2</t>
  </si>
  <si>
    <t>Dukhan Bank # 3</t>
  </si>
  <si>
    <t>Total-B</t>
  </si>
  <si>
    <t>Total Loans (A + B)</t>
  </si>
  <si>
    <t>Fixed Deposit (Liquidity Reserve)</t>
  </si>
  <si>
    <t>Liquidity Reserve - HSBC -FD 3M</t>
  </si>
  <si>
    <t>Total-C</t>
  </si>
  <si>
    <t>Net Loans - (A+B+C)</t>
  </si>
  <si>
    <t>Total Loans as on 15th August 2026</t>
  </si>
  <si>
    <t>Bank</t>
  </si>
  <si>
    <t>STL</t>
  </si>
  <si>
    <t>LTL</t>
  </si>
  <si>
    <t>Total Loan</t>
  </si>
  <si>
    <t>Dukhan Bank</t>
  </si>
  <si>
    <t>Al Rayan</t>
  </si>
  <si>
    <t>QDB - WC Financing (in QAR Mn)</t>
  </si>
  <si>
    <t>Business unit</t>
  </si>
  <si>
    <t>Raw Material (RM)
Loan approved</t>
  </si>
  <si>
    <t>OPEX Loan</t>
  </si>
  <si>
    <t>Applied for</t>
  </si>
  <si>
    <t>Approval expected</t>
  </si>
  <si>
    <t>QFM</t>
  </si>
  <si>
    <t>QFI</t>
  </si>
  <si>
    <t>USB</t>
  </si>
  <si>
    <t>UNB</t>
  </si>
  <si>
    <t>ASP</t>
  </si>
  <si>
    <t xml:space="preserve">Total amount </t>
  </si>
  <si>
    <t>WC Financing -QDB (in QAR Mn)</t>
  </si>
  <si>
    <t>Approved amount</t>
  </si>
  <si>
    <t>Utilized amount</t>
  </si>
  <si>
    <t>Applied amount</t>
  </si>
  <si>
    <t xml:space="preserve">Debt to Equity </t>
  </si>
  <si>
    <t>Term Loan vs Short term loan</t>
  </si>
  <si>
    <t>Outstanding</t>
  </si>
  <si>
    <t>FD</t>
  </si>
  <si>
    <t>Liquidity
Reserve</t>
  </si>
  <si>
    <t>Total</t>
  </si>
  <si>
    <t>Debt to Equity Ratio</t>
  </si>
  <si>
    <t xml:space="preserve">Period Ended on </t>
  </si>
  <si>
    <t xml:space="preserve">Debt </t>
  </si>
  <si>
    <r>
      <t>Equity (</t>
    </r>
    <r>
      <rPr>
        <b/>
        <sz val="8"/>
        <color theme="1"/>
        <rFont val="Calibri"/>
        <family val="2"/>
        <scheme val="minor"/>
      </rPr>
      <t>Book value)</t>
    </r>
  </si>
  <si>
    <r>
      <t>D/E Ratio (</t>
    </r>
    <r>
      <rPr>
        <b/>
        <sz val="8"/>
        <color theme="1"/>
        <rFont val="Calibri"/>
        <family val="2"/>
        <scheme val="minor"/>
      </rPr>
      <t>Book value</t>
    </r>
    <r>
      <rPr>
        <b/>
        <sz val="11"/>
        <color theme="1"/>
        <rFont val="Calibri"/>
        <family val="2"/>
        <scheme val="minor"/>
      </rPr>
      <t xml:space="preserve">) </t>
    </r>
  </si>
  <si>
    <t xml:space="preserve">Liquid Assets @ Cost To Debt </t>
  </si>
  <si>
    <t>15-Aug-2026</t>
  </si>
  <si>
    <t xml:space="preserve">Debt   </t>
  </si>
  <si>
    <t>Liquid Assets</t>
  </si>
  <si>
    <t xml:space="preserve">Cash at bank </t>
  </si>
  <si>
    <t>Investments at Purchase cost(Shares)</t>
  </si>
  <si>
    <t>Investments at Purchase cost(Metal)</t>
  </si>
  <si>
    <t>Liquid Assets to Debt ( no of times) Cost basis</t>
  </si>
  <si>
    <t>Liquid Assets @ Mkt Value To Debt</t>
  </si>
  <si>
    <t xml:space="preserve"> Market Value of Investments (Shares)</t>
  </si>
  <si>
    <t>Market Value of Investments (Metal)</t>
  </si>
  <si>
    <t>Gold</t>
  </si>
  <si>
    <t>Silver</t>
  </si>
  <si>
    <t>Liquid Assets to Debt ( no of times) Mkt Values</t>
  </si>
  <si>
    <t>Qty Oz</t>
  </si>
  <si>
    <t>Mkt rate</t>
  </si>
  <si>
    <t>Amount in QAR</t>
  </si>
  <si>
    <t>Equity 31-Apr-26</t>
  </si>
  <si>
    <t>Dividend paid</t>
  </si>
  <si>
    <t>FV 31-Mar-26</t>
  </si>
  <si>
    <t>FV 10-Aug-26</t>
  </si>
  <si>
    <t>FV gain / loss</t>
  </si>
  <si>
    <t>Mashreq</t>
  </si>
  <si>
    <t>Dukhan</t>
  </si>
  <si>
    <t>Details of Long term loans (in QAR millions)</t>
  </si>
  <si>
    <t>Paid till 2025</t>
  </si>
  <si>
    <t>Paid during YTD 2026</t>
  </si>
  <si>
    <t>Balance outstanding</t>
  </si>
  <si>
    <t>Repayment schedule  of balance outstanding</t>
  </si>
  <si>
    <t>Loan description</t>
  </si>
  <si>
    <t>Loan amount</t>
  </si>
  <si>
    <t>Tenure</t>
  </si>
  <si>
    <t>Start date</t>
  </si>
  <si>
    <t>End date</t>
  </si>
  <si>
    <t>Installment
frequency</t>
  </si>
  <si>
    <t>2035-2038</t>
  </si>
  <si>
    <t>Mashreq Al Islami
(MAI)</t>
  </si>
  <si>
    <t>MAI # 1</t>
  </si>
  <si>
    <t>8 years</t>
  </si>
  <si>
    <t>Quarterly</t>
  </si>
  <si>
    <t>UBS # 1</t>
  </si>
  <si>
    <t>5 years</t>
  </si>
  <si>
    <t>Half yearly</t>
  </si>
  <si>
    <t>Dukhan bank (DUK)</t>
  </si>
  <si>
    <t>DUK # 1</t>
  </si>
  <si>
    <t>Monthly</t>
  </si>
  <si>
    <t>MAI # 2</t>
  </si>
  <si>
    <t>7 years</t>
  </si>
  <si>
    <t>DUK # 2</t>
  </si>
  <si>
    <t>New long term loan:</t>
  </si>
  <si>
    <t>*DUK # 3</t>
  </si>
  <si>
    <t>12 years</t>
  </si>
  <si>
    <t>Total including new LTL</t>
  </si>
  <si>
    <t>Dukhan  # 1</t>
  </si>
  <si>
    <t>Dukhan  # 2</t>
  </si>
  <si>
    <t>Q1-2026</t>
  </si>
  <si>
    <t>Q2-2026</t>
  </si>
  <si>
    <t>Q3-2026 (remaining)</t>
  </si>
  <si>
    <t>Q4-2026</t>
  </si>
  <si>
    <t>Q1-2027</t>
  </si>
  <si>
    <t>Q2-2027</t>
  </si>
  <si>
    <t>Q3-2027</t>
  </si>
  <si>
    <t>Q4-2027</t>
  </si>
  <si>
    <t>Working Capital Limits - Bank Wise</t>
  </si>
  <si>
    <t>Qatar Islamic Bank</t>
  </si>
  <si>
    <t xml:space="preserve">Sanctioned </t>
  </si>
  <si>
    <t>Utilised</t>
  </si>
  <si>
    <t>Under Process</t>
  </si>
  <si>
    <t>Utilisation %</t>
  </si>
  <si>
    <t xml:space="preserve">LC </t>
  </si>
  <si>
    <t>Murabaha</t>
  </si>
  <si>
    <t>Bonds &amp; Guarantees</t>
  </si>
  <si>
    <t>Total Limit</t>
  </si>
  <si>
    <t>Mashreq Bank</t>
  </si>
  <si>
    <t>LC</t>
  </si>
  <si>
    <t>WC Limits - Bank Wise</t>
  </si>
  <si>
    <t>B&amp;G</t>
  </si>
  <si>
    <t>QIB</t>
  </si>
  <si>
    <t>Bonds &amp; Guarantee</t>
  </si>
  <si>
    <t>USD</t>
  </si>
  <si>
    <t>Sanctioned Limit</t>
  </si>
  <si>
    <t>MAR</t>
  </si>
  <si>
    <t>ZAD</t>
  </si>
  <si>
    <t>ACC</t>
  </si>
  <si>
    <t>QFT</t>
  </si>
  <si>
    <t>Working Capital Limits - Bank Wise Summary</t>
  </si>
  <si>
    <t>DBQ</t>
  </si>
  <si>
    <t>Qatar</t>
  </si>
  <si>
    <t>Sanctioned</t>
  </si>
  <si>
    <t>Switzerland</t>
  </si>
  <si>
    <t>U.A.E</t>
  </si>
  <si>
    <t xml:space="preserve">WC Limits Utilisation - Country Wise </t>
  </si>
  <si>
    <t>Country</t>
  </si>
  <si>
    <t>Dubai</t>
  </si>
  <si>
    <t>Country Wise WC Utilisation</t>
  </si>
  <si>
    <t>Month</t>
  </si>
  <si>
    <t>Cash Inflow</t>
  </si>
  <si>
    <t>Cash Outflow</t>
  </si>
  <si>
    <t>Net balance</t>
  </si>
  <si>
    <t>Surplus / (Deficit)</t>
  </si>
  <si>
    <t>Aug</t>
  </si>
  <si>
    <t>Sep</t>
  </si>
  <si>
    <t>Oct</t>
  </si>
  <si>
    <t xml:space="preserve">Doha Bank </t>
  </si>
  <si>
    <t>0222-0168686-001-0010-000</t>
  </si>
  <si>
    <t>CUR Current</t>
  </si>
  <si>
    <t>QAR</t>
  </si>
  <si>
    <t xml:space="preserve">Dukhan Bank </t>
  </si>
  <si>
    <t>Company Name</t>
  </si>
  <si>
    <t>Account No</t>
  </si>
  <si>
    <t>Account Type</t>
  </si>
  <si>
    <t>Branch Name</t>
  </si>
  <si>
    <t>Currency</t>
  </si>
  <si>
    <t>MAIN BRANCH</t>
  </si>
  <si>
    <t>ALC</t>
  </si>
  <si>
    <t>ARZAK</t>
  </si>
  <si>
    <t>GUC</t>
  </si>
  <si>
    <t>NFC</t>
  </si>
  <si>
    <t>AUTO MEDIA</t>
  </si>
  <si>
    <t>100002593758</t>
  </si>
  <si>
    <t>CMG CASH MARGIN</t>
  </si>
  <si>
    <t>ZAD CALL ACCOUNT</t>
  </si>
  <si>
    <t>CALL ACCOUNT</t>
  </si>
  <si>
    <t>CASHLINE</t>
  </si>
  <si>
    <t>0111051730026</t>
  </si>
  <si>
    <t>0003177700001</t>
  </si>
  <si>
    <t>Currrent</t>
  </si>
  <si>
    <t>0003-104174-001</t>
  </si>
  <si>
    <t>EUR</t>
  </si>
  <si>
    <t>CHF</t>
  </si>
  <si>
    <t>AL RAYAN</t>
  </si>
  <si>
    <t>0003177700004</t>
  </si>
  <si>
    <t>XAG</t>
  </si>
  <si>
    <t>USD A/C</t>
  </si>
  <si>
    <t>CAD A/C</t>
  </si>
  <si>
    <t>AUD A/C</t>
  </si>
  <si>
    <t>HSBC</t>
  </si>
  <si>
    <t>USD A/C - HSBC</t>
  </si>
  <si>
    <t>CAD A/C - HSBC</t>
  </si>
  <si>
    <t>QAR CURRENCY</t>
  </si>
  <si>
    <t>UNIT</t>
  </si>
  <si>
    <t>AMOUNT</t>
  </si>
  <si>
    <t>TOTAL</t>
  </si>
  <si>
    <t>BANK NAME</t>
  </si>
  <si>
    <t>Doha</t>
  </si>
  <si>
    <t>Breakdown of bank balance:</t>
  </si>
  <si>
    <t>Bank balance as on date</t>
  </si>
  <si>
    <t>Liquidity reserve (FD)</t>
  </si>
  <si>
    <t xml:space="preserve">Reserved working capital </t>
  </si>
  <si>
    <t>Remaining amount</t>
  </si>
  <si>
    <t>15th August 2026</t>
  </si>
  <si>
    <t>Guideline:</t>
  </si>
  <si>
    <t>The below information is extracted from Bank statements. &amp; filled up in the blue colored cells.</t>
  </si>
  <si>
    <t>Data updation timeline: Previous day bank statement data updated every working day by 9 am.</t>
  </si>
  <si>
    <t>The below information is extracted from Cash flow projection file &amp; the net amounts will be filled up in the blue colored cells.</t>
  </si>
  <si>
    <t>Data updation timeline: Reviewed &amp; updated every working day by 9 am.</t>
  </si>
  <si>
    <t>The below information is extracted from Loan summary document.</t>
  </si>
  <si>
    <t>Data updation timeline: Murabaha utilization &amp; payments will be updated on daily basis.</t>
  </si>
  <si>
    <r>
      <t xml:space="preserve">Utilization of LC and Bonds &amp; BGs will be updated on </t>
    </r>
    <r>
      <rPr>
        <sz val="11"/>
        <color rgb="FFFF0000"/>
        <rFont val="Calibri"/>
        <family val="2"/>
        <scheme val="minor"/>
      </rPr>
      <t>weekly</t>
    </r>
    <r>
      <rPr>
        <sz val="11"/>
        <color theme="1"/>
        <rFont val="Calibri"/>
        <family val="2"/>
        <scheme val="minor"/>
      </rPr>
      <t xml:space="preserve"> basis.</t>
    </r>
  </si>
  <si>
    <t>Total O/S</t>
  </si>
  <si>
    <t>Repayment</t>
  </si>
  <si>
    <t>The below information is extracted from Loan summary document &amp; loan repayment schedule.</t>
  </si>
  <si>
    <t>Avg. EBDA</t>
  </si>
  <si>
    <t>Short term 
loan</t>
  </si>
  <si>
    <t xml:space="preserve">Long term 
loan </t>
  </si>
  <si>
    <t>MAI</t>
  </si>
  <si>
    <t>QIB @ 4%</t>
  </si>
  <si>
    <t>Mashreq @ 4%</t>
  </si>
  <si>
    <t>UBS @ 4%</t>
  </si>
  <si>
    <t>Dukhan @ 4%</t>
  </si>
  <si>
    <t xml:space="preserve"> Al Rayan @ 4%</t>
  </si>
  <si>
    <t>Note : 
This section will be updated manually.</t>
  </si>
  <si>
    <t>Note: This section will be updated manually.</t>
  </si>
  <si>
    <r>
      <t xml:space="preserve">
1. This section will be updated manually.
2. Major supplier payments through LC during next 3 months included in the cash flow are as follows:
</t>
    </r>
    <r>
      <rPr>
        <u/>
        <sz val="9"/>
        <color theme="1"/>
        <rFont val="Calibri"/>
        <family val="2"/>
        <scheme val="minor"/>
      </rPr>
      <t xml:space="preserve">
Aug 2026</t>
    </r>
    <r>
      <rPr>
        <sz val="9"/>
        <color theme="1"/>
        <rFont val="Calibri"/>
        <family val="2"/>
        <scheme val="minor"/>
      </rPr>
      <t xml:space="preserve">
QAR. XX Mn towards wheat LC (QFM)
QAR. XX Mn towards barley LC (QFT). 
</t>
    </r>
    <r>
      <rPr>
        <u/>
        <sz val="9"/>
        <color theme="1"/>
        <rFont val="Calibri"/>
        <family val="2"/>
        <scheme val="minor"/>
      </rPr>
      <t xml:space="preserve">Sep 2026
</t>
    </r>
    <r>
      <rPr>
        <sz val="9"/>
        <color theme="1"/>
        <rFont val="Calibri"/>
        <family val="2"/>
        <scheme val="minor"/>
      </rPr>
      <t xml:space="preserve">QAR. XX Mn towards wheat LC (QFM)
QAR. XX Mn towards barley LC (QFT). 
</t>
    </r>
    <r>
      <rPr>
        <u/>
        <sz val="9"/>
        <color theme="1"/>
        <rFont val="Calibri"/>
        <family val="2"/>
        <scheme val="minor"/>
      </rPr>
      <t>Oct 2026</t>
    </r>
    <r>
      <rPr>
        <sz val="9"/>
        <color theme="1"/>
        <rFont val="Calibri"/>
        <family val="2"/>
        <scheme val="minor"/>
      </rPr>
      <t xml:space="preserve"> 
QAR. XX Mn towards wheat LC (QFM) 
QAR. XX Mn towards Barley LC (QFT).
</t>
    </r>
  </si>
  <si>
    <r>
      <t xml:space="preserve">
This section will be manually updated.
</t>
    </r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.MAI # 1 : Quarterly installments  payable ,next installment due in Sep-2026. QAR XX mn plus profit per installment.
</t>
    </r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.UBS # 1 Long Term Loan next  installment due in Nov-2026. QAR XX mn plus profit per installment
</t>
    </r>
    <r>
      <rPr>
        <b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.DUK # 1 long-term loan installment is due on the 12th of every month.  QAR XX mn plus profit per installment
</t>
    </r>
    <r>
      <rPr>
        <b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.MAI # 2 :New loan availed on 15-Jan-2026 ,1st installment will be due in Oct-2026. QAR XX mn plus profit per installment.
</t>
    </r>
    <r>
      <rPr>
        <b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>.DUK # 2 :New loan availed on 24-Jun-2026 ,1st installment will be due in Sep-2027 after the grace period.</t>
    </r>
  </si>
  <si>
    <t>DUK</t>
  </si>
  <si>
    <t>Duk</t>
  </si>
  <si>
    <t>UBS &amp; HSBC</t>
  </si>
  <si>
    <t>Availability -Insufficent , Dollar is made available by QCB in regulated manner , bankers has to apply for dollar quantity to QCB  with all details , subsequently on approval dollar , is made available  Exchange rate within Qatar - 3.65 , Exchange rate outside qatar - 3.6475 to 3.6480 . Reason :- Withdrawal of deposit , early loan repayment , no new deposit or investment etc . As per one of the article qatari bank has cut dollar sale to foreiqn lenders  &amp; from our routine transaction &amp; enquiry it has been noticed dollar are not available with mashreq bank qatar , however dollar are available with Al Rayan @ 3.65</t>
  </si>
  <si>
    <t>We are looking for hedging tool to hedge  our monthly dollar requirement , however two bank mashreq &amp; Barwa bank has denied or not given solution . Al Rayan has tool ,but first instance on their own they have made comment their product is not feasible . Hedging will help for subsequent dollar purchase for LC or loan maturity with local bank . But the risk of foreiqen loan remains open . Al Rayan can provide FD conversion from qatari to USD @ 3.65 &amp; tentative verbal quote from treasury team was 2.5% p.a for three months.Bank has to take internal approval before doing this transaction. Incase we decide to convert to convert equivalent amount of USD FD , maximum USD can be made available from current fixed deposit is USD 65 mn approx &amp; gradually it can be edged up through subsequent collections . Period for which FD are retained negative monthly profit impact will be QR 114k . Incase subsequently blocade is removed &amp; FD is required to be  converted to QAR - will get lower rate than 3.65 . Considering the current prevailing rate impact will QR 1.2 mn ( 3.6315).</t>
  </si>
  <si>
    <t>Note:
1.This section will be manually updated.</t>
  </si>
  <si>
    <t>Blue fields only to be updated</t>
  </si>
  <si>
    <t>Table linked from Working capital sheet</t>
  </si>
  <si>
    <t>NO TRANSACTION FROM FEB-2026</t>
  </si>
  <si>
    <t>CLOSING BALANCE</t>
  </si>
  <si>
    <t>CB</t>
  </si>
  <si>
    <t>Trade date</t>
  </si>
  <si>
    <t>Settlement date</t>
  </si>
  <si>
    <t>Description</t>
  </si>
  <si>
    <t>Account name</t>
  </si>
  <si>
    <t>Account number</t>
  </si>
  <si>
    <t>Portfolio name</t>
  </si>
  <si>
    <t>Portfolio number</t>
  </si>
  <si>
    <t>Transaction type</t>
  </si>
  <si>
    <t>Amount currency</t>
  </si>
  <si>
    <t>ZAD HOLDING COMPANY</t>
  </si>
  <si>
    <t>509B222082E</t>
  </si>
  <si>
    <t>STANDARD</t>
  </si>
  <si>
    <t>509C150664R</t>
  </si>
  <si>
    <t>Security Event Transaction</t>
  </si>
  <si>
    <t>CAD</t>
  </si>
  <si>
    <t>Money Transfer</t>
  </si>
  <si>
    <r>
      <rPr>
        <b/>
        <sz val="9"/>
        <color rgb="FF231F20"/>
        <rFont val="Trebuchet MS"/>
        <family val="2"/>
      </rPr>
      <t xml:space="preserve">UBS Switzerland AG </t>
    </r>
    <r>
      <rPr>
        <sz val="9"/>
        <color rgb="FF231F20"/>
        <rFont val="Arial MT"/>
        <family val="2"/>
      </rPr>
      <t xml:space="preserve">PO Box, CH-8098 Zurich www.ubs.com
</t>
    </r>
    <r>
      <rPr>
        <sz val="9"/>
        <color rgb="FF231F20"/>
        <rFont val="Arial MT"/>
        <family val="2"/>
      </rPr>
      <t>For all your questions: ubs.com/help</t>
    </r>
  </si>
  <si>
    <r>
      <rPr>
        <sz val="10"/>
        <color rgb="FF231F20"/>
        <rFont val="Arial MT"/>
        <family val="2"/>
      </rPr>
      <t xml:space="preserve">ZAD Holding Company (Q.P.S.C.) Building 393
</t>
    </r>
    <r>
      <rPr>
        <sz val="10"/>
        <color rgb="FF231F20"/>
        <rFont val="Arial MT"/>
        <family val="2"/>
      </rPr>
      <t>Al Meena Street 200 QA-Doha Zone 19</t>
    </r>
  </si>
  <si>
    <r>
      <rPr>
        <b/>
        <sz val="10"/>
        <color rgb="FF231F20"/>
        <rFont val="Trebuchet MS"/>
        <family val="2"/>
      </rPr>
      <t xml:space="preserve">UBS Business Current Account                                                                                             </t>
    </r>
    <r>
      <rPr>
        <sz val="9"/>
        <color rgb="FF231F20"/>
        <rFont val="Arial MT"/>
        <family val="2"/>
      </rPr>
      <t>CAD 1000</t>
    </r>
    <r>
      <rPr>
        <b/>
        <sz val="12"/>
        <color rgb="FF231F20"/>
        <rFont val="Trebuchet MS"/>
        <family val="2"/>
      </rPr>
      <t xml:space="preserve">.00
</t>
    </r>
    <r>
      <rPr>
        <b/>
        <sz val="10"/>
        <color rgb="FF231F20"/>
        <rFont val="Trebuchet MS"/>
        <family val="2"/>
      </rPr>
      <t xml:space="preserve">IBAN  CH67 0030 8308 2129 2661 C                                                                                    </t>
    </r>
    <r>
      <rPr>
        <vertAlign val="subscript"/>
        <sz val="10"/>
        <color rgb="FF231F20"/>
        <rFont val="Arial MT"/>
        <family val="2"/>
      </rPr>
      <t xml:space="preserve">Current balance
</t>
    </r>
    <r>
      <rPr>
        <b/>
        <sz val="10"/>
        <color rgb="FF231F20"/>
        <rFont val="Trebuchet MS"/>
        <family val="2"/>
      </rPr>
      <t>BIC  UBSWCHZH80A</t>
    </r>
  </si>
  <si>
    <r>
      <rPr>
        <sz val="10"/>
        <color rgb="FF231F20"/>
        <rFont val="Arial MT"/>
        <family val="2"/>
      </rPr>
      <t>Created on  08.07.2026</t>
    </r>
  </si>
  <si>
    <r>
      <rPr>
        <b/>
        <sz val="16"/>
        <color rgb="FF231F20"/>
        <rFont val="Trebuchet MS"/>
        <family val="2"/>
      </rPr>
      <t xml:space="preserve">Account transactions
</t>
    </r>
    <r>
      <rPr>
        <b/>
        <sz val="10"/>
        <color rgb="FF231F20"/>
        <rFont val="Trebuchet MS"/>
        <family val="2"/>
      </rPr>
      <t xml:space="preserve">Filter criteria
</t>
    </r>
    <r>
      <rPr>
        <b/>
        <sz val="9"/>
        <color rgb="FF231F20"/>
        <rFont val="Trebuchet MS"/>
        <family val="2"/>
      </rPr>
      <t xml:space="preserve">Booking amount:               </t>
    </r>
    <r>
      <rPr>
        <sz val="9"/>
        <color rgb="FF231F20"/>
        <rFont val="Arial MT"/>
        <family val="2"/>
      </rPr>
      <t xml:space="preserve">All
</t>
    </r>
    <r>
      <rPr>
        <b/>
        <sz val="9"/>
        <color rgb="FF231F20"/>
        <rFont val="Trebuchet MS"/>
        <family val="2"/>
      </rPr>
      <t xml:space="preserve">Time period:                      </t>
    </r>
    <r>
      <rPr>
        <sz val="9"/>
        <color rgb="FF231F20"/>
        <rFont val="Arial MT"/>
        <family val="2"/>
      </rPr>
      <t>01.06.2026 - 30.06.2026</t>
    </r>
  </si>
  <si>
    <r>
      <rPr>
        <b/>
        <sz val="9"/>
        <color rgb="FF231F20"/>
        <rFont val="Trebuchet MS"/>
        <family val="2"/>
      </rPr>
      <t>Trade date Booking date</t>
    </r>
  </si>
  <si>
    <r>
      <rPr>
        <b/>
        <sz val="9"/>
        <color rgb="FF231F20"/>
        <rFont val="Trebuchet MS"/>
        <family val="2"/>
      </rPr>
      <t>Description</t>
    </r>
  </si>
  <si>
    <r>
      <rPr>
        <b/>
        <sz val="9"/>
        <color rgb="FF231F20"/>
        <rFont val="Trebuchet MS"/>
        <family val="2"/>
      </rPr>
      <t>Debit</t>
    </r>
  </si>
  <si>
    <r>
      <rPr>
        <b/>
        <sz val="9"/>
        <color rgb="FF231F20"/>
        <rFont val="Trebuchet MS"/>
        <family val="2"/>
      </rPr>
      <t>Credit</t>
    </r>
  </si>
  <si>
    <r>
      <rPr>
        <b/>
        <sz val="9"/>
        <color rgb="FF231F20"/>
        <rFont val="Trebuchet MS"/>
        <family val="2"/>
      </rPr>
      <t>Value date</t>
    </r>
  </si>
  <si>
    <r>
      <rPr>
        <b/>
        <sz val="9"/>
        <color rgb="FF231F20"/>
        <rFont val="Trebuchet MS"/>
        <family val="2"/>
      </rPr>
      <t>Balance</t>
    </r>
  </si>
  <si>
    <r>
      <rPr>
        <sz val="9"/>
        <color rgb="FF231F20"/>
        <rFont val="Arial MT"/>
        <family val="2"/>
      </rPr>
      <t>Closing balance</t>
    </r>
  </si>
  <si>
    <r>
      <rPr>
        <b/>
        <sz val="10"/>
        <color rgb="FF231F20"/>
        <rFont val="Trebuchet MS"/>
        <family val="2"/>
      </rPr>
      <t xml:space="preserve">UBS Business Current Account                                                                                           </t>
    </r>
    <r>
      <rPr>
        <sz val="9"/>
        <color rgb="FF231F20"/>
        <rFont val="Arial MT"/>
        <family val="2"/>
      </rPr>
      <t>USD 500</t>
    </r>
    <r>
      <rPr>
        <b/>
        <sz val="12"/>
        <color rgb="FF231F20"/>
        <rFont val="Trebuchet MS"/>
        <family val="2"/>
      </rPr>
      <t xml:space="preserve">
</t>
    </r>
    <r>
      <rPr>
        <b/>
        <sz val="10"/>
        <color rgb="FF231F20"/>
        <rFont val="Trebuchet MS"/>
        <family val="2"/>
      </rPr>
      <t xml:space="preserve">IBAN  CH72 0030 8308 2129 2660 M                                                                                   </t>
    </r>
    <r>
      <rPr>
        <vertAlign val="subscript"/>
        <sz val="10"/>
        <color rgb="FF231F20"/>
        <rFont val="Arial MT"/>
        <family val="2"/>
      </rPr>
      <t xml:space="preserve">Current balance
</t>
    </r>
    <r>
      <rPr>
        <b/>
        <sz val="10"/>
        <color rgb="FF231F20"/>
        <rFont val="Trebuchet MS"/>
        <family val="2"/>
      </rPr>
      <t>BIC  UBSWCHZH80A</t>
    </r>
  </si>
  <si>
    <r>
      <rPr>
        <sz val="10"/>
        <color rgb="FF231F20"/>
        <rFont val="Arial MT"/>
        <family val="2"/>
      </rPr>
      <t>Created on  04.08.2026</t>
    </r>
  </si>
  <si>
    <r>
      <rPr>
        <b/>
        <sz val="16"/>
        <color rgb="FF231F20"/>
        <rFont val="Trebuchet MS"/>
        <family val="2"/>
      </rPr>
      <t xml:space="preserve">Account transactions
</t>
    </r>
    <r>
      <rPr>
        <b/>
        <sz val="10"/>
        <color rgb="FF231F20"/>
        <rFont val="Trebuchet MS"/>
        <family val="2"/>
      </rPr>
      <t xml:space="preserve">Filter criteria
</t>
    </r>
    <r>
      <rPr>
        <b/>
        <sz val="9"/>
        <color rgb="FF231F20"/>
        <rFont val="Trebuchet MS"/>
        <family val="2"/>
      </rPr>
      <t xml:space="preserve">Booking amount:               </t>
    </r>
    <r>
      <rPr>
        <sz val="9"/>
        <color rgb="FF231F20"/>
        <rFont val="Arial MT"/>
        <family val="2"/>
      </rPr>
      <t xml:space="preserve">All
</t>
    </r>
    <r>
      <rPr>
        <b/>
        <sz val="9"/>
        <color rgb="FF231F20"/>
        <rFont val="Trebuchet MS"/>
        <family val="2"/>
      </rPr>
      <t xml:space="preserve">Time period:                      </t>
    </r>
    <r>
      <rPr>
        <sz val="9"/>
        <color rgb="FF231F20"/>
        <rFont val="Arial MT"/>
        <family val="2"/>
      </rPr>
      <t>01.07.2026 - 31.07.2026</t>
    </r>
  </si>
  <si>
    <t>Transaction Date</t>
  </si>
  <si>
    <t>Document #</t>
  </si>
  <si>
    <t>Value Date</t>
  </si>
  <si>
    <t>Debit</t>
  </si>
  <si>
    <t>Credit</t>
  </si>
  <si>
    <t>01-07-2026</t>
  </si>
  <si>
    <t>Account Statement</t>
  </si>
  <si>
    <t>Report generated on 2026/08/25</t>
  </si>
  <si>
    <t>Account Information</t>
  </si>
  <si>
    <t>Account Number</t>
  </si>
  <si>
    <t>Customer Name :</t>
  </si>
  <si>
    <t xml:space="preserve">  AUTOMEDIA ADVERTISING</t>
  </si>
  <si>
    <t>CK</t>
  </si>
  <si>
    <t>Bank Name</t>
  </si>
  <si>
    <t>Branch</t>
  </si>
  <si>
    <t>BIC</t>
  </si>
  <si>
    <t>BRWAQAQAXXX</t>
  </si>
  <si>
    <t>IBAN</t>
  </si>
  <si>
    <t>QA47BRWA000000000100002593758</t>
  </si>
  <si>
    <t>Balance Information</t>
  </si>
  <si>
    <t>Current Balance</t>
  </si>
  <si>
    <t>Available Balance</t>
  </si>
  <si>
    <t>Transaction Statement</t>
  </si>
  <si>
    <t>Transaction Date From Date</t>
  </si>
  <si>
    <t>2026-02-01</t>
  </si>
  <si>
    <t xml:space="preserve">To Date </t>
  </si>
  <si>
    <t>2026-08-24</t>
  </si>
  <si>
    <t>Narrative</t>
  </si>
  <si>
    <t>Transaction Reference</t>
  </si>
  <si>
    <t>Debits</t>
  </si>
  <si>
    <t>Credits</t>
  </si>
  <si>
    <t>Ledger Balance</t>
  </si>
  <si>
    <t>2026-07-07</t>
  </si>
  <si>
    <t>-</t>
  </si>
  <si>
    <t>100000792904</t>
  </si>
  <si>
    <t>NATIONAL FOOD COMPANY W.L.L</t>
  </si>
  <si>
    <t>QA12BRWA000000000100000792904</t>
  </si>
  <si>
    <t>2026-08-01</t>
  </si>
  <si>
    <t>2026-08-13</t>
  </si>
  <si>
    <t>2026-08-11</t>
  </si>
  <si>
    <t>100001870634</t>
  </si>
  <si>
    <t>UMMSAID BAKERY</t>
  </si>
  <si>
    <t>QA41BRWA000000000100001870634</t>
  </si>
  <si>
    <t>2026-08-16</t>
  </si>
  <si>
    <t>100001870621</t>
  </si>
  <si>
    <t>QA04BRWA000000000100001870621</t>
  </si>
  <si>
    <t>2026-08-17</t>
  </si>
  <si>
    <t>100000792506</t>
  </si>
  <si>
    <t>QA88BRWA000000000100000792506</t>
  </si>
  <si>
    <t>2026-08-20</t>
  </si>
  <si>
    <t>100000841415</t>
  </si>
  <si>
    <t xml:space="preserve">  ALCAT LOGISTICS SERVICES AND TRADERS WLL</t>
  </si>
  <si>
    <t>QA06BRWA000000000100000841415</t>
  </si>
  <si>
    <t>100001845559</t>
  </si>
  <si>
    <t xml:space="preserve">  ALCAT ASPHALT PLANT</t>
  </si>
  <si>
    <t>QA06BRWA000000000100001845559</t>
  </si>
  <si>
    <t>100001872603</t>
  </si>
  <si>
    <t>ARZAK MARKETING</t>
  </si>
  <si>
    <t>QA34BRWA000000000100001872603</t>
  </si>
  <si>
    <t>100000819104</t>
  </si>
  <si>
    <t>QA33BRWA000000000100000819104</t>
  </si>
  <si>
    <t>100001870728</t>
  </si>
  <si>
    <t xml:space="preserve">  Qatar Flour Mills Company</t>
  </si>
  <si>
    <t>QA25BRWA000000000100001870728</t>
  </si>
  <si>
    <t>2026-08-19</t>
  </si>
  <si>
    <t>100001870702</t>
  </si>
  <si>
    <t>QA48BRWA000000000100001870702</t>
  </si>
  <si>
    <t>100001870618</t>
  </si>
  <si>
    <t>QA85BRWA000000000100001870618</t>
  </si>
  <si>
    <t>100000832880</t>
  </si>
  <si>
    <t>QA76BRWA000000000100000832880</t>
  </si>
  <si>
    <t>100000185812</t>
  </si>
  <si>
    <t>QA48BRWA000000000100000185812</t>
  </si>
  <si>
    <t>200001066225</t>
  </si>
  <si>
    <t xml:space="preserve">  Zad Holding Company</t>
  </si>
  <si>
    <t>SV</t>
  </si>
  <si>
    <t>QA67BRWA000000000200001066225</t>
  </si>
  <si>
    <t>200000597452</t>
  </si>
  <si>
    <t>QA87BRWA000000000200000597452</t>
  </si>
  <si>
    <t>100002781078</t>
  </si>
  <si>
    <t>QA84BRWA000000000100002781078</t>
  </si>
  <si>
    <t>100000484005</t>
  </si>
  <si>
    <t>QA31BRWA000000000100000484005</t>
  </si>
  <si>
    <t>2026-08-23</t>
  </si>
  <si>
    <t>100000182792</t>
  </si>
  <si>
    <t>QA11BRWA000000000100000182792</t>
  </si>
  <si>
    <t>2026-08-22</t>
  </si>
  <si>
    <t>Entity</t>
  </si>
  <si>
    <t>Account Name</t>
  </si>
  <si>
    <t>Status</t>
  </si>
  <si>
    <t>Account Currency</t>
  </si>
  <si>
    <t>Start Date</t>
  </si>
  <si>
    <t>End Date</t>
  </si>
  <si>
    <t>Current Account</t>
  </si>
  <si>
    <t>QAR 0003177700001 Current Account</t>
  </si>
  <si>
    <t>Active</t>
  </si>
  <si>
    <t>ARB</t>
  </si>
  <si>
    <t>25/08/2026</t>
  </si>
  <si>
    <t>Type</t>
  </si>
  <si>
    <t>Reference</t>
  </si>
  <si>
    <t>Cheque No.</t>
  </si>
  <si>
    <t>Deposit</t>
  </si>
  <si>
    <t>Withdrawal</t>
  </si>
  <si>
    <t>16/08/2026 12:00:21</t>
  </si>
  <si>
    <t>16/08/2026</t>
  </si>
  <si>
    <t>Credit Card payment</t>
  </si>
  <si>
    <t>16/08/2026 11:56:24</t>
  </si>
  <si>
    <t>USD 0003177700004 Current Account</t>
  </si>
  <si>
    <t>31/07/2026</t>
  </si>
  <si>
    <t>30/07/2026 09:12:33</t>
  </si>
  <si>
    <t>30/07/2026</t>
  </si>
  <si>
    <t>23/07/2026 09:34:12</t>
  </si>
  <si>
    <t>23/07/2026</t>
  </si>
  <si>
    <r>
      <rPr>
        <sz val="8"/>
        <color rgb="FFFFFFFF"/>
        <rFont val="Verdana"/>
        <family val="2"/>
      </rPr>
      <t>Transaction Date</t>
    </r>
  </si>
  <si>
    <r>
      <rPr>
        <sz val="8"/>
        <color rgb="FFFFFFFF"/>
        <rFont val="Verdana"/>
        <family val="2"/>
      </rPr>
      <t>Transaction Description</t>
    </r>
  </si>
  <si>
    <r>
      <rPr>
        <sz val="8"/>
        <color rgb="FFFFFFFF"/>
        <rFont val="Verdana"/>
        <family val="2"/>
      </rPr>
      <t>Transaction Reference</t>
    </r>
  </si>
  <si>
    <r>
      <rPr>
        <sz val="8"/>
        <color rgb="FFFFFFFF"/>
        <rFont val="Verdana"/>
        <family val="2"/>
      </rPr>
      <t>Customer Reference</t>
    </r>
  </si>
  <si>
    <r>
      <rPr>
        <sz val="8"/>
        <color rgb="FFFFFFFF"/>
        <rFont val="Verdana"/>
        <family val="2"/>
      </rPr>
      <t>Transaction Remarks</t>
    </r>
  </si>
  <si>
    <r>
      <rPr>
        <sz val="8"/>
        <color rgb="FFFFFFFF"/>
        <rFont val="Verdana"/>
        <family val="2"/>
      </rPr>
      <t>Debit Amount</t>
    </r>
  </si>
  <si>
    <r>
      <rPr>
        <sz val="8"/>
        <color rgb="FFFFFFFF"/>
        <rFont val="Verdana"/>
        <family val="2"/>
      </rPr>
      <t>Credit Amount</t>
    </r>
  </si>
  <si>
    <r>
      <rPr>
        <sz val="8"/>
        <color rgb="FFFFFFFF"/>
        <rFont val="Verdana"/>
        <family val="2"/>
      </rPr>
      <t>Balance</t>
    </r>
  </si>
  <si>
    <r>
      <rPr>
        <sz val="8"/>
        <color rgb="FF4C4C4C"/>
        <rFont val="Verdana"/>
        <family val="2"/>
      </rPr>
      <t>Funds Transfer</t>
    </r>
  </si>
  <si>
    <t>DATE</t>
  </si>
  <si>
    <t>REFERENCE_NO</t>
  </si>
  <si>
    <t>CURRENCY</t>
  </si>
  <si>
    <t>DEBIT AMOUNT</t>
  </si>
  <si>
    <t>CREDIT AMOUNT</t>
  </si>
  <si>
    <t>BALANCE</t>
  </si>
  <si>
    <t>ACCOUNT_NUMBER</t>
  </si>
  <si>
    <t>DESCRIPTION</t>
  </si>
  <si>
    <t>100001870692</t>
  </si>
  <si>
    <t xml:space="preserve">  QATAR FOOD INDUSTRIES CO  (FOODCO)</t>
  </si>
  <si>
    <t>QA27BRWA000000000100001870692</t>
  </si>
  <si>
    <t>100001870689</t>
  </si>
  <si>
    <t>QA11BRWA000000000100001870689</t>
  </si>
  <si>
    <t>2026-08-12</t>
  </si>
  <si>
    <t>100000832877</t>
  </si>
  <si>
    <t>QA60BRWA000000000100000832877</t>
  </si>
  <si>
    <t>100000780301</t>
  </si>
  <si>
    <t>QA17BRWA000000000100000780301</t>
  </si>
  <si>
    <t>100001798347</t>
  </si>
  <si>
    <t xml:space="preserve">  UNITED BAKERIES</t>
  </si>
  <si>
    <t>QA53BRWA000000000100001798347</t>
  </si>
  <si>
    <t>100001870650</t>
  </si>
  <si>
    <t xml:space="preserve">  ALCAT CONTRACTING</t>
  </si>
  <si>
    <t>QA94BRWA000000000100001870650</t>
  </si>
  <si>
    <t>100000827646</t>
  </si>
  <si>
    <t>QA65BRWA000000000100000827646</t>
  </si>
  <si>
    <t>100000279773</t>
  </si>
  <si>
    <t>QA39BRWA000000000100000279773</t>
  </si>
  <si>
    <t>100001870647</t>
  </si>
  <si>
    <t>QA78BRWA000000000100001870647</t>
  </si>
  <si>
    <t>2026-07-01</t>
  </si>
  <si>
    <t>2026-08-02</t>
  </si>
  <si>
    <t>2026-07-31</t>
  </si>
  <si>
    <t>2026-06-30</t>
  </si>
  <si>
    <t>100000824416</t>
  </si>
  <si>
    <t xml:space="preserve">  GULF UNITED REAL ESTATE INVESTMANT</t>
  </si>
  <si>
    <t>QA72BRWA000000000100000824416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</si>
</sst>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0.000"/>
    <numFmt numFmtId="169" formatCode="_(* #,##0.0_);_(* \(#,##0.0\);_(* &quot;-&quot;?_);_(@_)"/>
    <numFmt numFmtId="170" formatCode="_-* #,##0.00_-;\-* #,##0.00_-;_-* &quot;-&quot;??_-;_-@_-"/>
    <numFmt numFmtId="171" formatCode="dd\.mm\.yyyy;@"/>
    <numFmt numFmtId="172" formatCode="dd/mm/yyyy;@"/>
    <numFmt numFmtId="173" formatCode="000000000000000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E6E8F0"/>
      <name val="Arial"/>
      <family val="2"/>
    </font>
    <font>
      <b/>
      <u/>
      <sz val="11"/>
      <color theme="4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u/>
      <sz val="9"/>
      <color theme="1"/>
      <name val="Calibri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rgb="FF231F20"/>
      <name val="Trebuchet MS"/>
      <family val="2"/>
    </font>
    <font>
      <sz val="9"/>
      <color rgb="FF231F20"/>
      <name val="Arial MT"/>
      <family val="2"/>
    </font>
    <font>
      <sz val="10"/>
      <color rgb="FF231F20"/>
      <name val="Arial MT"/>
      <family val="2"/>
    </font>
    <font>
      <sz val="11"/>
      <color rgb="FF231F20"/>
      <name val="Calibri"/>
      <family val="2"/>
    </font>
    <font>
      <b/>
      <sz val="10"/>
      <color rgb="FF231F20"/>
      <name val="Trebuchet MS"/>
      <family val="2"/>
    </font>
    <font>
      <b/>
      <sz val="12"/>
      <color rgb="FF231F20"/>
      <name val="Trebuchet MS"/>
      <family val="2"/>
    </font>
    <font>
      <vertAlign val="subscript"/>
      <sz val="10"/>
      <color rgb="FF231F20"/>
      <name val="Arial MT"/>
      <family val="2"/>
    </font>
    <font>
      <sz val="10"/>
      <name val="Arial MT"/>
    </font>
    <font>
      <b/>
      <sz val="16"/>
      <color rgb="FF231F20"/>
      <name val="Trebuchet MS"/>
      <family val="2"/>
    </font>
    <font>
      <b/>
      <sz val="9"/>
      <name val="Trebuchet MS"/>
      <family val="2"/>
    </font>
    <font>
      <sz val="9"/>
      <name val="Arial MT"/>
    </font>
    <font>
      <sz val="9"/>
      <color rgb="FFED1C24"/>
      <name val="Arial MT"/>
      <family val="2"/>
    </font>
    <font>
      <b/>
      <sz val="11"/>
      <name val="Calibri"/>
      <family val="2"/>
    </font>
    <font>
      <sz val="9"/>
      <color indexed="8"/>
      <name val="arabicFont"/>
    </font>
    <font>
      <b/>
      <sz val="12"/>
      <color indexed="8"/>
      <name val="arabicFont"/>
    </font>
    <font>
      <b/>
      <sz val="10"/>
      <color indexed="8"/>
      <name val="arabicFont"/>
    </font>
    <font>
      <sz val="11"/>
      <color indexed="9"/>
      <name val="arabicFont"/>
    </font>
    <font>
      <sz val="12"/>
      <color indexed="8"/>
      <name val="arabicFont"/>
    </font>
    <font>
      <sz val="8"/>
      <color indexed="8"/>
      <name val="arabicFont"/>
    </font>
    <font>
      <sz val="8"/>
      <name val="Verdana"/>
      <family val="2"/>
    </font>
    <font>
      <sz val="8"/>
      <color rgb="FFFFFFFF"/>
      <name val="Verdana"/>
      <family val="2"/>
    </font>
    <font>
      <sz val="8"/>
      <color rgb="FF4C4C4C"/>
      <name val="Verdana"/>
      <family val="2"/>
    </font>
    <font>
      <sz val="8"/>
      <color theme="1"/>
      <name val="Verdan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767171"/>
      </patternFill>
    </fill>
  </fills>
  <borders count="1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/>
      <diagonal/>
    </border>
    <border>
      <left style="thick">
        <color theme="4"/>
      </left>
      <right/>
      <top style="thick">
        <color theme="4"/>
      </top>
      <bottom style="medium">
        <color theme="4"/>
      </bottom>
      <diagonal/>
    </border>
    <border>
      <left/>
      <right/>
      <top style="thick">
        <color theme="4"/>
      </top>
      <bottom style="medium">
        <color theme="4"/>
      </bottom>
      <diagonal/>
    </border>
    <border>
      <left/>
      <right style="thick">
        <color theme="4"/>
      </right>
      <top style="thick">
        <color theme="4"/>
      </top>
      <bottom style="medium">
        <color theme="4"/>
      </bottom>
      <diagonal/>
    </border>
    <border>
      <left style="thick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thick">
        <color theme="4"/>
      </right>
      <top style="medium">
        <color theme="4"/>
      </top>
      <bottom style="medium">
        <color theme="4"/>
      </bottom>
      <diagonal/>
    </border>
    <border>
      <left style="thick">
        <color theme="4"/>
      </left>
      <right/>
      <top style="medium">
        <color theme="4"/>
      </top>
      <bottom style="thick">
        <color theme="4"/>
      </bottom>
      <diagonal/>
    </border>
    <border>
      <left/>
      <right/>
      <top style="medium">
        <color theme="4"/>
      </top>
      <bottom style="thick">
        <color theme="4"/>
      </bottom>
      <diagonal/>
    </border>
    <border>
      <left/>
      <right style="thick">
        <color theme="4"/>
      </right>
      <top style="medium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 style="thick">
        <color theme="7"/>
      </right>
      <top style="thick">
        <color theme="4"/>
      </top>
      <bottom/>
      <diagonal/>
    </border>
    <border>
      <left style="thick">
        <color theme="7"/>
      </left>
      <right style="thick">
        <color theme="7"/>
      </right>
      <top style="thick">
        <color theme="4"/>
      </top>
      <bottom/>
      <diagonal/>
    </border>
    <border>
      <left style="thick">
        <color theme="7"/>
      </left>
      <right style="thick">
        <color theme="7"/>
      </right>
      <top style="thick">
        <color theme="4"/>
      </top>
      <bottom style="thick">
        <color theme="4"/>
      </bottom>
      <diagonal/>
    </border>
    <border>
      <left style="thick">
        <color theme="7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medium">
        <color theme="4"/>
      </left>
      <right style="thick">
        <color theme="7"/>
      </right>
      <top style="medium">
        <color theme="4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 style="medium">
        <color theme="4"/>
      </top>
      <bottom style="thick">
        <color theme="7"/>
      </bottom>
      <diagonal/>
    </border>
    <border>
      <left style="thick">
        <color theme="7"/>
      </left>
      <right/>
      <top style="medium">
        <color theme="4"/>
      </top>
      <bottom style="thick">
        <color theme="7"/>
      </bottom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medium">
        <color theme="4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 style="medium">
        <color theme="4"/>
      </right>
      <top/>
      <bottom/>
      <diagonal/>
    </border>
    <border>
      <left/>
      <right style="thick">
        <color theme="4"/>
      </right>
      <top/>
      <bottom/>
      <diagonal/>
    </border>
    <border>
      <left style="medium">
        <color theme="4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 style="thick">
        <color theme="7"/>
      </right>
      <top style="thick">
        <color theme="4"/>
      </top>
      <bottom style="thick">
        <color theme="4"/>
      </bottom>
      <diagonal/>
    </border>
    <border>
      <left style="thick">
        <color rgb="FF0070C0"/>
      </left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/>
      <top/>
      <bottom style="thick">
        <color theme="7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 style="thick">
        <color rgb="FF0070C0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4"/>
      </left>
      <right/>
      <top/>
      <bottom/>
      <diagonal/>
    </border>
    <border>
      <left style="thick">
        <color rgb="FF0070C0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ck">
        <color theme="0"/>
      </left>
      <right/>
      <top style="thick">
        <color theme="3" tint="0.39994506668294322"/>
      </top>
      <bottom/>
      <diagonal/>
    </border>
    <border>
      <left/>
      <right/>
      <top style="thick">
        <color theme="3" tint="0.39994506668294322"/>
      </top>
      <bottom/>
      <diagonal/>
    </border>
    <border>
      <left/>
      <right style="thick">
        <color rgb="FF0070C0"/>
      </right>
      <top style="thick">
        <color theme="3" tint="0.39994506668294322"/>
      </top>
      <bottom/>
      <diagonal/>
    </border>
    <border>
      <left style="thick">
        <color rgb="FF0070C0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ck">
        <color theme="0"/>
      </left>
      <right/>
      <top/>
      <bottom style="thick">
        <color theme="3" tint="0.39994506668294322"/>
      </bottom>
      <diagonal/>
    </border>
    <border>
      <left/>
      <right/>
      <top/>
      <bottom style="thick">
        <color theme="3" tint="0.39994506668294322"/>
      </bottom>
      <diagonal/>
    </border>
    <border>
      <left/>
      <right style="thick">
        <color rgb="FF0070C0"/>
      </right>
      <top/>
      <bottom style="thick">
        <color theme="3" tint="0.39994506668294322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thick">
        <color theme="4"/>
      </right>
      <top/>
      <bottom style="medium">
        <color theme="4"/>
      </bottom>
      <diagonal/>
    </border>
    <border>
      <left style="thick">
        <color theme="4"/>
      </left>
      <right/>
      <top/>
      <bottom style="medium">
        <color theme="4"/>
      </bottom>
      <diagonal/>
    </border>
    <border>
      <left style="medium">
        <color theme="4"/>
      </left>
      <right/>
      <top style="thick">
        <color theme="4"/>
      </top>
      <bottom style="thick">
        <color theme="7"/>
      </bottom>
      <diagonal/>
    </border>
    <border>
      <left/>
      <right/>
      <top style="thick">
        <color theme="4"/>
      </top>
      <bottom style="thick">
        <color theme="7"/>
      </bottom>
      <diagonal/>
    </border>
    <border>
      <left/>
      <right style="medium">
        <color theme="4"/>
      </right>
      <top style="thick">
        <color theme="4"/>
      </top>
      <bottom/>
      <diagonal/>
    </border>
    <border>
      <left style="medium">
        <color theme="4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/>
      <right/>
      <top/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 style="medium">
        <color rgb="FF7030A0"/>
      </bottom>
      <diagonal/>
    </border>
    <border>
      <left/>
      <right style="thick">
        <color theme="7"/>
      </right>
      <top/>
      <bottom style="medium">
        <color rgb="FF7030A0"/>
      </bottom>
      <diagonal/>
    </border>
    <border>
      <left style="thick">
        <color theme="7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medium">
        <color theme="4"/>
      </left>
      <right/>
      <top style="thick">
        <color theme="4"/>
      </top>
      <bottom/>
      <diagonal/>
    </border>
    <border>
      <left style="medium">
        <color theme="4"/>
      </left>
      <right/>
      <top/>
      <bottom style="thick">
        <color theme="4"/>
      </bottom>
      <diagonal/>
    </border>
    <border>
      <left/>
      <right style="medium">
        <color theme="4"/>
      </right>
      <top/>
      <bottom style="thick">
        <color theme="4"/>
      </bottom>
      <diagonal/>
    </border>
    <border>
      <left/>
      <right style="medium">
        <color theme="4"/>
      </right>
      <top style="thick">
        <color theme="7"/>
      </top>
      <bottom style="thick">
        <color theme="7"/>
      </bottom>
      <diagonal/>
    </border>
    <border>
      <left/>
      <right style="medium">
        <color theme="4"/>
      </right>
      <top style="thick">
        <color theme="7"/>
      </top>
      <bottom/>
      <diagonal/>
    </border>
    <border>
      <left style="medium">
        <color theme="4"/>
      </left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 style="medium">
        <color theme="4"/>
      </right>
      <top/>
      <bottom style="thick">
        <color theme="7"/>
      </bottom>
      <diagonal/>
    </border>
    <border>
      <left style="medium">
        <color theme="4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theme="4"/>
      </right>
      <top style="medium">
        <color rgb="FF0070C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4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theme="4"/>
      </right>
      <top/>
      <bottom style="medium">
        <color rgb="FF0070C0"/>
      </bottom>
      <diagonal/>
    </border>
    <border>
      <left style="medium">
        <color theme="4"/>
      </left>
      <right/>
      <top style="thick">
        <color theme="4"/>
      </top>
      <bottom style="thick">
        <color theme="4"/>
      </bottom>
      <diagonal/>
    </border>
    <border>
      <left/>
      <right style="medium">
        <color theme="4"/>
      </right>
      <top style="thick">
        <color theme="4"/>
      </top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A7A9AC"/>
      </top>
      <bottom style="thin">
        <color rgb="FFB7B9BB"/>
      </bottom>
      <diagonal/>
    </border>
    <border>
      <left/>
      <right/>
      <top style="thin">
        <color rgb="FFB7B9BB"/>
      </top>
      <bottom style="thin">
        <color rgb="FFB7B9BB"/>
      </bottom>
      <diagonal/>
    </border>
    <border>
      <left/>
      <right/>
      <top style="thin">
        <color rgb="FFB7B9BB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803">
    <xf numFmtId="0" fontId="0" fillId="0" borderId="0" xfId="0"/>
    <xf numFmtId="0" fontId="3" fillId="0" borderId="0" xfId="0" applyFont="1"/>
    <xf numFmtId="0" fontId="0" fillId="2" borderId="0" xfId="0" applyFill="1"/>
    <xf numFmtId="164" fontId="0" fillId="0" borderId="0" xfId="1" applyNumberFormat="1" applyFont="1"/>
    <xf numFmtId="2" fontId="0" fillId="0" borderId="0" xfId="0" applyNumberFormat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0" fontId="4" fillId="0" borderId="12" xfId="0" applyFont="1" applyBorder="1" applyAlignment="1">
      <alignment horizontal="center"/>
    </xf>
    <xf numFmtId="43" fontId="0" fillId="0" borderId="0" xfId="1" applyFont="1" applyFill="1" applyBorder="1"/>
    <xf numFmtId="0" fontId="0" fillId="0" borderId="12" xfId="0" applyBorder="1" applyAlignment="1">
      <alignment vertical="center"/>
    </xf>
    <xf numFmtId="165" fontId="0" fillId="0" borderId="1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3" fontId="0" fillId="0" borderId="0" xfId="0" applyNumberFormat="1"/>
    <xf numFmtId="0" fontId="0" fillId="0" borderId="13" xfId="0" applyBorder="1"/>
    <xf numFmtId="0" fontId="9" fillId="0" borderId="2" xfId="0" applyFont="1" applyBorder="1" applyAlignment="1">
      <alignment vertical="top"/>
    </xf>
    <xf numFmtId="0" fontId="0" fillId="0" borderId="2" xfId="0" applyBorder="1"/>
    <xf numFmtId="0" fontId="0" fillId="0" borderId="14" xfId="0" applyBorder="1"/>
    <xf numFmtId="0" fontId="10" fillId="0" borderId="2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" fontId="4" fillId="0" borderId="0" xfId="0" applyNumberFormat="1" applyFont="1"/>
    <xf numFmtId="0" fontId="0" fillId="0" borderId="16" xfId="0" applyBorder="1"/>
    <xf numFmtId="0" fontId="0" fillId="0" borderId="17" xfId="0" applyBorder="1"/>
    <xf numFmtId="0" fontId="10" fillId="0" borderId="0" xfId="0" applyFont="1" applyAlignment="1">
      <alignment vertical="top" wrapText="1"/>
    </xf>
    <xf numFmtId="0" fontId="10" fillId="0" borderId="18" xfId="0" applyFont="1" applyBorder="1" applyAlignment="1">
      <alignment vertical="top" wrapText="1"/>
    </xf>
    <xf numFmtId="43" fontId="0" fillId="0" borderId="0" xfId="1" applyFont="1"/>
    <xf numFmtId="43" fontId="4" fillId="0" borderId="0" xfId="1" applyFont="1"/>
    <xf numFmtId="2" fontId="0" fillId="2" borderId="0" xfId="0" applyNumberFormat="1" applyFill="1"/>
    <xf numFmtId="0" fontId="11" fillId="0" borderId="0" xfId="0" applyFont="1" applyAlignment="1">
      <alignment horizontal="left" wrapText="1" readingOrder="1"/>
    </xf>
    <xf numFmtId="0" fontId="12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top" wrapText="1"/>
    </xf>
    <xf numFmtId="43" fontId="4" fillId="5" borderId="0" xfId="1" applyFont="1" applyFill="1"/>
    <xf numFmtId="166" fontId="0" fillId="0" borderId="0" xfId="0" applyNumberFormat="1"/>
    <xf numFmtId="0" fontId="0" fillId="0" borderId="16" xfId="0" applyBorder="1" applyAlignment="1">
      <alignment horizontal="left"/>
    </xf>
    <xf numFmtId="165" fontId="0" fillId="0" borderId="0" xfId="1" applyNumberFormat="1" applyFont="1" applyBorder="1" applyAlignment="1">
      <alignment vertical="center"/>
    </xf>
    <xf numFmtId="0" fontId="0" fillId="0" borderId="0" xfId="0" applyAlignment="1">
      <alignment vertical="top" wrapText="1"/>
    </xf>
    <xf numFmtId="165" fontId="0" fillId="0" borderId="0" xfId="0" applyNumberFormat="1"/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165" fontId="0" fillId="0" borderId="0" xfId="0" applyNumberFormat="1" applyAlignment="1">
      <alignment vertical="center"/>
    </xf>
    <xf numFmtId="165" fontId="0" fillId="0" borderId="0" xfId="1" applyNumberFormat="1" applyFont="1"/>
    <xf numFmtId="0" fontId="10" fillId="0" borderId="0" xfId="0" applyFont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4" fillId="0" borderId="20" xfId="0" applyFont="1" applyBorder="1" applyAlignment="1">
      <alignment horizontal="left" vertical="center"/>
    </xf>
    <xf numFmtId="0" fontId="0" fillId="0" borderId="21" xfId="0" applyBorder="1"/>
    <xf numFmtId="0" fontId="10" fillId="0" borderId="20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164" fontId="0" fillId="0" borderId="0" xfId="0" applyNumberFormat="1"/>
    <xf numFmtId="43" fontId="0" fillId="0" borderId="0" xfId="1" applyFont="1" applyFill="1"/>
    <xf numFmtId="0" fontId="0" fillId="6" borderId="0" xfId="0" applyFill="1"/>
    <xf numFmtId="43" fontId="0" fillId="7" borderId="0" xfId="0" applyNumberFormat="1" applyFill="1"/>
    <xf numFmtId="0" fontId="4" fillId="0" borderId="0" xfId="0" applyFont="1"/>
    <xf numFmtId="0" fontId="10" fillId="0" borderId="49" xfId="0" applyFont="1" applyBorder="1" applyAlignment="1">
      <alignment horizontal="left" vertical="top" wrapText="1"/>
    </xf>
    <xf numFmtId="165" fontId="0" fillId="0" borderId="0" xfId="1" applyNumberFormat="1" applyFont="1" applyFill="1"/>
    <xf numFmtId="0" fontId="10" fillId="0" borderId="0" xfId="0" applyFont="1" applyAlignment="1">
      <alignment horizontal="left" vertical="top"/>
    </xf>
    <xf numFmtId="0" fontId="10" fillId="0" borderId="38" xfId="0" applyFont="1" applyBorder="1" applyAlignment="1">
      <alignment horizontal="left" vertical="top"/>
    </xf>
    <xf numFmtId="165" fontId="4" fillId="0" borderId="0" xfId="1" applyNumberFormat="1" applyFont="1"/>
    <xf numFmtId="164" fontId="0" fillId="0" borderId="0" xfId="1" applyNumberFormat="1" applyFont="1" applyBorder="1"/>
    <xf numFmtId="165" fontId="0" fillId="0" borderId="0" xfId="1" applyNumberFormat="1" applyFont="1" applyBorder="1"/>
    <xf numFmtId="165" fontId="0" fillId="0" borderId="0" xfId="1" applyNumberFormat="1" applyFont="1" applyFill="1" applyBorder="1"/>
    <xf numFmtId="9" fontId="0" fillId="0" borderId="0" xfId="2" applyFont="1" applyBorder="1"/>
    <xf numFmtId="167" fontId="0" fillId="0" borderId="0" xfId="1" applyNumberFormat="1" applyFont="1" applyBorder="1"/>
    <xf numFmtId="0" fontId="10" fillId="0" borderId="1" xfId="0" applyFont="1" applyBorder="1" applyAlignment="1">
      <alignment horizontal="left" vertical="top"/>
    </xf>
    <xf numFmtId="0" fontId="10" fillId="0" borderId="44" xfId="0" applyFont="1" applyBorder="1" applyAlignment="1">
      <alignment horizontal="left" vertical="top"/>
    </xf>
    <xf numFmtId="0" fontId="0" fillId="0" borderId="5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9" fillId="0" borderId="0" xfId="0" applyFont="1"/>
    <xf numFmtId="0" fontId="19" fillId="8" borderId="0" xfId="0" applyFont="1" applyFill="1"/>
    <xf numFmtId="0" fontId="0" fillId="0" borderId="61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63" xfId="0" applyBorder="1"/>
    <xf numFmtId="0" fontId="4" fillId="9" borderId="0" xfId="0" applyFont="1" applyFill="1" applyAlignment="1">
      <alignment horizontal="center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0" fillId="0" borderId="69" xfId="0" applyBorder="1"/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0" fillId="0" borderId="0" xfId="0" applyAlignment="1">
      <alignment horizontal="center" wrapText="1"/>
    </xf>
    <xf numFmtId="0" fontId="4" fillId="6" borderId="0" xfId="0" applyFont="1" applyFill="1"/>
    <xf numFmtId="0" fontId="0" fillId="0" borderId="0" xfId="0" applyAlignment="1">
      <alignment horizontal="right"/>
    </xf>
    <xf numFmtId="0" fontId="0" fillId="9" borderId="0" xfId="0" applyFill="1"/>
    <xf numFmtId="2" fontId="4" fillId="9" borderId="0" xfId="0" applyNumberFormat="1" applyFont="1" applyFill="1" applyAlignment="1">
      <alignment horizontal="left"/>
    </xf>
    <xf numFmtId="0" fontId="0" fillId="0" borderId="0" xfId="0" applyAlignment="1">
      <alignment wrapText="1"/>
    </xf>
    <xf numFmtId="2" fontId="4" fillId="0" borderId="0" xfId="2" applyNumberFormat="1" applyFont="1" applyBorder="1" applyAlignment="1">
      <alignment horizontal="left"/>
    </xf>
    <xf numFmtId="10" fontId="0" fillId="0" borderId="0" xfId="0" applyNumberFormat="1"/>
    <xf numFmtId="0" fontId="21" fillId="0" borderId="51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21" fillId="0" borderId="37" xfId="0" applyFont="1" applyBorder="1" applyAlignment="1">
      <alignment vertical="top" wrapText="1"/>
    </xf>
    <xf numFmtId="9" fontId="4" fillId="0" borderId="0" xfId="2" applyFont="1" applyBorder="1" applyAlignment="1">
      <alignment horizontal="left"/>
    </xf>
    <xf numFmtId="0" fontId="21" fillId="0" borderId="73" xfId="0" applyFont="1" applyBorder="1" applyAlignment="1">
      <alignment vertical="top" wrapText="1"/>
    </xf>
    <xf numFmtId="0" fontId="21" fillId="0" borderId="42" xfId="0" applyFont="1" applyBorder="1" applyAlignment="1">
      <alignment vertical="top" wrapText="1"/>
    </xf>
    <xf numFmtId="0" fontId="21" fillId="0" borderId="43" xfId="0" applyFont="1" applyBorder="1" applyAlignment="1">
      <alignment vertical="top" wrapText="1"/>
    </xf>
    <xf numFmtId="2" fontId="0" fillId="0" borderId="0" xfId="1" applyNumberFormat="1" applyFont="1" applyBorder="1"/>
    <xf numFmtId="0" fontId="10" fillId="0" borderId="32" xfId="0" applyFont="1" applyBorder="1" applyAlignment="1">
      <alignment horizontal="left" vertical="top" wrapText="1"/>
    </xf>
    <xf numFmtId="0" fontId="10" fillId="0" borderId="76" xfId="0" applyFont="1" applyBorder="1" applyAlignment="1">
      <alignment horizontal="left" vertical="top" wrapText="1"/>
    </xf>
    <xf numFmtId="0" fontId="10" fillId="0" borderId="51" xfId="0" applyFont="1" applyBorder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43" fontId="0" fillId="0" borderId="0" xfId="1" applyFont="1" applyBorder="1"/>
    <xf numFmtId="10" fontId="0" fillId="0" borderId="0" xfId="2" applyNumberFormat="1" applyFont="1" applyBorder="1"/>
    <xf numFmtId="168" fontId="0" fillId="0" borderId="0" xfId="0" applyNumberFormat="1"/>
    <xf numFmtId="0" fontId="4" fillId="0" borderId="41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10" fillId="0" borderId="42" xfId="0" applyFont="1" applyBorder="1" applyAlignment="1">
      <alignment horizontal="left" vertical="top" wrapText="1"/>
    </xf>
    <xf numFmtId="0" fontId="10" fillId="0" borderId="43" xfId="0" applyFont="1" applyBorder="1" applyAlignment="1">
      <alignment horizontal="left" vertical="top" wrapText="1"/>
    </xf>
    <xf numFmtId="0" fontId="4" fillId="0" borderId="79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0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7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23" fillId="0" borderId="70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top" wrapText="1"/>
    </xf>
    <xf numFmtId="0" fontId="24" fillId="0" borderId="31" xfId="0" applyFont="1" applyBorder="1" applyAlignment="1">
      <alignment horizontal="left" vertical="top" wrapText="1"/>
    </xf>
    <xf numFmtId="0" fontId="23" fillId="0" borderId="71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top" wrapText="1"/>
    </xf>
    <xf numFmtId="0" fontId="24" fillId="0" borderId="37" xfId="0" applyFont="1" applyBorder="1" applyAlignment="1">
      <alignment horizontal="left" vertical="top" wrapText="1"/>
    </xf>
    <xf numFmtId="0" fontId="24" fillId="0" borderId="71" xfId="0" applyFont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37" xfId="0" applyFont="1" applyBorder="1" applyAlignment="1">
      <alignment horizontal="left" vertical="top"/>
    </xf>
    <xf numFmtId="0" fontId="24" fillId="0" borderId="70" xfId="0" applyFont="1" applyBorder="1" applyAlignment="1">
      <alignment horizontal="left" vertical="top"/>
    </xf>
    <xf numFmtId="0" fontId="24" fillId="0" borderId="30" xfId="0" applyFont="1" applyBorder="1" applyAlignment="1">
      <alignment horizontal="left" vertical="top"/>
    </xf>
    <xf numFmtId="0" fontId="24" fillId="0" borderId="31" xfId="0" applyFont="1" applyBorder="1" applyAlignment="1">
      <alignment horizontal="left" vertical="top"/>
    </xf>
    <xf numFmtId="0" fontId="0" fillId="0" borderId="70" xfId="0" applyBorder="1"/>
    <xf numFmtId="0" fontId="0" fillId="0" borderId="30" xfId="0" applyBorder="1"/>
    <xf numFmtId="0" fontId="0" fillId="0" borderId="31" xfId="0" applyBorder="1"/>
    <xf numFmtId="0" fontId="0" fillId="0" borderId="54" xfId="0" applyBorder="1"/>
    <xf numFmtId="0" fontId="0" fillId="0" borderId="40" xfId="0" applyBorder="1"/>
    <xf numFmtId="0" fontId="0" fillId="0" borderId="90" xfId="0" applyBorder="1"/>
    <xf numFmtId="0" fontId="0" fillId="0" borderId="81" xfId="0" applyBorder="1"/>
    <xf numFmtId="0" fontId="0" fillId="0" borderId="82" xfId="0" applyBorder="1"/>
    <xf numFmtId="0" fontId="0" fillId="0" borderId="91" xfId="0" applyBorder="1"/>
    <xf numFmtId="0" fontId="0" fillId="0" borderId="83" xfId="0" applyBorder="1"/>
    <xf numFmtId="0" fontId="0" fillId="0" borderId="92" xfId="0" applyBorder="1"/>
    <xf numFmtId="0" fontId="8" fillId="0" borderId="32" xfId="0" applyFont="1" applyBorder="1" applyAlignment="1">
      <alignment horizontal="center"/>
    </xf>
    <xf numFmtId="0" fontId="10" fillId="0" borderId="32" xfId="0" applyFont="1" applyBorder="1" applyAlignment="1">
      <alignment vertical="top" wrapText="1"/>
    </xf>
    <xf numFmtId="0" fontId="10" fillId="0" borderId="32" xfId="0" applyFont="1" applyBorder="1" applyAlignment="1">
      <alignment vertical="top"/>
    </xf>
    <xf numFmtId="0" fontId="10" fillId="0" borderId="3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38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44" xfId="0" applyFont="1" applyBorder="1" applyAlignment="1">
      <alignment vertical="top"/>
    </xf>
    <xf numFmtId="0" fontId="4" fillId="0" borderId="5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8" xfId="0" applyFont="1" applyBorder="1" applyAlignment="1">
      <alignment vertical="center"/>
    </xf>
    <xf numFmtId="0" fontId="0" fillId="0" borderId="51" xfId="0" applyBorder="1"/>
    <xf numFmtId="0" fontId="0" fillId="0" borderId="38" xfId="0" applyBorder="1"/>
    <xf numFmtId="0" fontId="26" fillId="0" borderId="0" xfId="3"/>
    <xf numFmtId="0" fontId="10" fillId="0" borderId="71" xfId="0" applyFont="1" applyBorder="1" applyAlignment="1">
      <alignment vertical="top" wrapText="1"/>
    </xf>
    <xf numFmtId="0" fontId="10" fillId="0" borderId="37" xfId="0" applyFont="1" applyBorder="1" applyAlignment="1">
      <alignment vertical="top" wrapText="1"/>
    </xf>
    <xf numFmtId="0" fontId="10" fillId="0" borderId="71" xfId="0" applyFont="1" applyBorder="1" applyAlignment="1">
      <alignment horizontal="left" vertical="top" wrapText="1"/>
    </xf>
    <xf numFmtId="0" fontId="4" fillId="11" borderId="7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37" xfId="0" applyFont="1" applyFill="1" applyBorder="1" applyAlignment="1">
      <alignment horizontal="center" vertical="center"/>
    </xf>
    <xf numFmtId="0" fontId="0" fillId="0" borderId="71" xfId="0" applyBorder="1"/>
    <xf numFmtId="0" fontId="0" fillId="0" borderId="37" xfId="0" applyBorder="1"/>
    <xf numFmtId="0" fontId="0" fillId="12" borderId="0" xfId="0" applyFill="1"/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7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89" xfId="0" applyBorder="1" applyAlignment="1">
      <alignment wrapText="1"/>
    </xf>
    <xf numFmtId="0" fontId="4" fillId="11" borderId="71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1" borderId="37" xfId="0" applyFont="1" applyFill="1" applyBorder="1" applyAlignment="1">
      <alignment horizontal="left" vertical="center" wrapText="1"/>
    </xf>
    <xf numFmtId="0" fontId="7" fillId="0" borderId="71" xfId="0" applyFont="1" applyBorder="1" applyAlignment="1">
      <alignment horizontal="left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37" xfId="0" applyBorder="1" applyAlignment="1">
      <alignment horizontal="left" wrapText="1"/>
    </xf>
    <xf numFmtId="0" fontId="4" fillId="0" borderId="1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0" fontId="0" fillId="0" borderId="12" xfId="2" applyNumberFormat="1" applyFon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0" fontId="7" fillId="0" borderId="71" xfId="0" applyFont="1" applyBorder="1"/>
    <xf numFmtId="167" fontId="0" fillId="0" borderId="0" xfId="1" applyNumberFormat="1" applyFont="1" applyBorder="1" applyAlignment="1">
      <alignment horizontal="center" vertical="center" wrapText="1"/>
    </xf>
    <xf numFmtId="0" fontId="7" fillId="0" borderId="71" xfId="0" applyFont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37" xfId="0" applyBorder="1" applyAlignment="1">
      <alignment wrapText="1"/>
    </xf>
    <xf numFmtId="0" fontId="4" fillId="0" borderId="9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99" xfId="0" applyFont="1" applyBorder="1" applyAlignment="1">
      <alignment horizontal="left" vertical="center" wrapText="1"/>
    </xf>
    <xf numFmtId="169" fontId="0" fillId="0" borderId="37" xfId="0" applyNumberForma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6" borderId="70" xfId="0" applyFill="1" applyBorder="1"/>
    <xf numFmtId="0" fontId="0" fillId="6" borderId="30" xfId="0" applyFill="1" applyBorder="1"/>
    <xf numFmtId="0" fontId="0" fillId="6" borderId="31" xfId="0" applyFill="1" applyBorder="1"/>
    <xf numFmtId="0" fontId="0" fillId="6" borderId="71" xfId="0" applyFill="1" applyBorder="1"/>
    <xf numFmtId="0" fontId="0" fillId="6" borderId="37" xfId="0" applyFill="1" applyBorder="1"/>
    <xf numFmtId="0" fontId="0" fillId="6" borderId="41" xfId="0" applyFill="1" applyBorder="1"/>
    <xf numFmtId="0" fontId="0" fillId="6" borderId="42" xfId="0" applyFill="1" applyBorder="1"/>
    <xf numFmtId="0" fontId="0" fillId="6" borderId="43" xfId="0" applyFill="1" applyBorder="1"/>
    <xf numFmtId="0" fontId="7" fillId="0" borderId="0" xfId="0" applyFont="1"/>
    <xf numFmtId="0" fontId="5" fillId="0" borderId="0" xfId="0" applyFont="1"/>
    <xf numFmtId="17" fontId="29" fillId="0" borderId="12" xfId="0" applyNumberFormat="1" applyFont="1" applyBorder="1" applyAlignment="1">
      <alignment horizontal="center" vertical="center" wrapText="1"/>
    </xf>
    <xf numFmtId="17" fontId="29" fillId="0" borderId="125" xfId="0" applyNumberFormat="1" applyFont="1" applyBorder="1" applyAlignment="1">
      <alignment horizontal="center" vertical="center" wrapText="1"/>
    </xf>
    <xf numFmtId="165" fontId="5" fillId="0" borderId="126" xfId="0" applyNumberFormat="1" applyFont="1" applyBorder="1" applyAlignment="1">
      <alignment horizontal="left" indent="1"/>
    </xf>
    <xf numFmtId="165" fontId="5" fillId="0" borderId="12" xfId="1" applyNumberFormat="1" applyFont="1" applyBorder="1" applyAlignment="1">
      <alignment horizontal="left" indent="1"/>
    </xf>
    <xf numFmtId="165" fontId="5" fillId="0" borderId="124" xfId="1" applyNumberFormat="1" applyFont="1" applyBorder="1" applyAlignment="1">
      <alignment horizontal="left" indent="1"/>
    </xf>
    <xf numFmtId="165" fontId="5" fillId="0" borderId="12" xfId="1" applyNumberFormat="1" applyFont="1" applyBorder="1"/>
    <xf numFmtId="165" fontId="5" fillId="0" borderId="125" xfId="1" applyNumberFormat="1" applyFont="1" applyBorder="1"/>
    <xf numFmtId="165" fontId="5" fillId="0" borderId="127" xfId="0" applyNumberFormat="1" applyFont="1" applyBorder="1" applyAlignment="1">
      <alignment horizontal="left" indent="1"/>
    </xf>
    <xf numFmtId="165" fontId="7" fillId="13" borderId="127" xfId="0" applyNumberFormat="1" applyFont="1" applyFill="1" applyBorder="1" applyAlignment="1">
      <alignment horizontal="left" indent="1"/>
    </xf>
    <xf numFmtId="165" fontId="7" fillId="13" borderId="12" xfId="1" applyNumberFormat="1" applyFont="1" applyFill="1" applyBorder="1" applyAlignment="1">
      <alignment horizontal="left" indent="1"/>
    </xf>
    <xf numFmtId="165" fontId="7" fillId="13" borderId="12" xfId="1" applyNumberFormat="1" applyFont="1" applyFill="1" applyBorder="1"/>
    <xf numFmtId="165" fontId="7" fillId="13" borderId="125" xfId="1" applyNumberFormat="1" applyFont="1" applyFill="1" applyBorder="1" applyAlignment="1">
      <alignment horizontal="left" indent="1"/>
    </xf>
    <xf numFmtId="0" fontId="0" fillId="0" borderId="18" xfId="0" applyBorder="1"/>
    <xf numFmtId="165" fontId="7" fillId="14" borderId="122" xfId="0" applyNumberFormat="1" applyFont="1" applyFill="1" applyBorder="1" applyAlignment="1">
      <alignment horizontal="left" indent="1"/>
    </xf>
    <xf numFmtId="165" fontId="7" fillId="14" borderId="110" xfId="1" applyNumberFormat="1" applyFont="1" applyFill="1" applyBorder="1" applyAlignment="1">
      <alignment horizontal="left" indent="1"/>
    </xf>
    <xf numFmtId="165" fontId="7" fillId="14" borderId="121" xfId="1" applyNumberFormat="1" applyFont="1" applyFill="1" applyBorder="1" applyAlignment="1">
      <alignment horizontal="left" indent="1"/>
    </xf>
    <xf numFmtId="0" fontId="5" fillId="0" borderId="127" xfId="0" applyFont="1" applyBorder="1" applyAlignment="1">
      <alignment horizontal="left" indent="1"/>
    </xf>
    <xf numFmtId="165" fontId="5" fillId="0" borderId="128" xfId="1" applyNumberFormat="1" applyFont="1" applyBorder="1" applyAlignment="1">
      <alignment horizontal="left" indent="1"/>
    </xf>
    <xf numFmtId="0" fontId="5" fillId="0" borderId="127" xfId="0" applyFont="1" applyBorder="1"/>
    <xf numFmtId="165" fontId="4" fillId="13" borderId="12" xfId="0" applyNumberFormat="1" applyFont="1" applyFill="1" applyBorder="1"/>
    <xf numFmtId="165" fontId="4" fillId="13" borderId="125" xfId="0" applyNumberFormat="1" applyFont="1" applyFill="1" applyBorder="1"/>
    <xf numFmtId="0" fontId="7" fillId="14" borderId="129" xfId="0" applyFont="1" applyFill="1" applyBorder="1" applyAlignment="1">
      <alignment horizontal="left" indent="1"/>
    </xf>
    <xf numFmtId="165" fontId="7" fillId="14" borderId="130" xfId="1" applyNumberFormat="1" applyFont="1" applyFill="1" applyBorder="1"/>
    <xf numFmtId="165" fontId="7" fillId="14" borderId="131" xfId="1" applyNumberFormat="1" applyFont="1" applyFill="1" applyBorder="1"/>
    <xf numFmtId="0" fontId="4" fillId="3" borderId="12" xfId="0" applyFont="1" applyFill="1" applyBorder="1" applyAlignment="1">
      <alignment horizontal="center"/>
    </xf>
    <xf numFmtId="0" fontId="0" fillId="0" borderId="12" xfId="0" applyBorder="1"/>
    <xf numFmtId="165" fontId="1" fillId="0" borderId="12" xfId="1" applyNumberFormat="1" applyFont="1" applyBorder="1"/>
    <xf numFmtId="0" fontId="4" fillId="0" borderId="12" xfId="0" applyFont="1" applyBorder="1"/>
    <xf numFmtId="165" fontId="4" fillId="0" borderId="12" xfId="1" applyNumberFormat="1" applyFont="1" applyBorder="1"/>
    <xf numFmtId="167" fontId="4" fillId="0" borderId="12" xfId="1" applyNumberFormat="1" applyFont="1" applyBorder="1"/>
    <xf numFmtId="165" fontId="0" fillId="0" borderId="12" xfId="1" applyNumberFormat="1" applyFont="1" applyBorder="1"/>
    <xf numFmtId="0" fontId="2" fillId="15" borderId="108" xfId="0" applyFont="1" applyFill="1" applyBorder="1" applyAlignment="1">
      <alignment horizontal="center" vertical="center" wrapText="1"/>
    </xf>
    <xf numFmtId="0" fontId="2" fillId="15" borderId="110" xfId="0" applyFont="1" applyFill="1" applyBorder="1" applyAlignment="1">
      <alignment horizontal="center" vertical="center" wrapText="1"/>
    </xf>
    <xf numFmtId="0" fontId="2" fillId="15" borderId="109" xfId="0" applyFont="1" applyFill="1" applyBorder="1" applyAlignment="1">
      <alignment horizontal="center" vertical="center" wrapText="1"/>
    </xf>
    <xf numFmtId="43" fontId="0" fillId="0" borderId="12" xfId="0" applyNumberFormat="1" applyBorder="1"/>
    <xf numFmtId="43" fontId="4" fillId="0" borderId="12" xfId="1" applyFont="1" applyBorder="1"/>
    <xf numFmtId="165" fontId="0" fillId="6" borderId="0" xfId="1" applyNumberFormat="1" applyFont="1" applyFill="1"/>
    <xf numFmtId="0" fontId="4" fillId="6" borderId="16" xfId="0" applyFont="1" applyFill="1" applyBorder="1"/>
    <xf numFmtId="15" fontId="4" fillId="6" borderId="0" xfId="0" quotePrefix="1" applyNumberFormat="1" applyFont="1" applyFill="1" applyAlignment="1">
      <alignment horizontal="center" vertical="center"/>
    </xf>
    <xf numFmtId="15" fontId="4" fillId="6" borderId="18" xfId="0" quotePrefix="1" applyNumberFormat="1" applyFont="1" applyFill="1" applyBorder="1" applyAlignment="1">
      <alignment horizontal="center" vertical="center"/>
    </xf>
    <xf numFmtId="165" fontId="4" fillId="6" borderId="0" xfId="1" applyNumberFormat="1" applyFont="1" applyFill="1" applyBorder="1" applyAlignment="1">
      <alignment horizontal="right"/>
    </xf>
    <xf numFmtId="165" fontId="4" fillId="6" borderId="18" xfId="1" applyNumberFormat="1" applyFont="1" applyFill="1" applyBorder="1" applyAlignment="1">
      <alignment horizontal="right"/>
    </xf>
    <xf numFmtId="0" fontId="28" fillId="6" borderId="16" xfId="0" applyFont="1" applyFill="1" applyBorder="1" applyAlignment="1">
      <alignment horizontal="left" vertical="center" wrapText="1"/>
    </xf>
    <xf numFmtId="165" fontId="28" fillId="6" borderId="0" xfId="1" applyNumberFormat="1" applyFont="1" applyFill="1" applyBorder="1" applyAlignment="1">
      <alignment vertical="center"/>
    </xf>
    <xf numFmtId="165" fontId="28" fillId="6" borderId="18" xfId="1" applyNumberFormat="1" applyFont="1" applyFill="1" applyBorder="1" applyAlignment="1">
      <alignment vertical="center"/>
    </xf>
    <xf numFmtId="0" fontId="28" fillId="6" borderId="16" xfId="0" applyFont="1" applyFill="1" applyBorder="1" applyAlignment="1">
      <alignment vertical="top" wrapText="1"/>
    </xf>
    <xf numFmtId="0" fontId="22" fillId="3" borderId="19" xfId="0" applyFont="1" applyFill="1" applyBorder="1" applyAlignment="1">
      <alignment vertical="center" wrapText="1"/>
    </xf>
    <xf numFmtId="2" fontId="4" fillId="3" borderId="20" xfId="2" applyNumberFormat="1" applyFont="1" applyFill="1" applyBorder="1" applyAlignment="1">
      <alignment vertical="center"/>
    </xf>
    <xf numFmtId="2" fontId="4" fillId="3" borderId="22" xfId="2" applyNumberFormat="1" applyFont="1" applyFill="1" applyBorder="1" applyAlignment="1">
      <alignment vertical="center"/>
    </xf>
    <xf numFmtId="165" fontId="4" fillId="6" borderId="18" xfId="0" quotePrefix="1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165" fontId="0" fillId="6" borderId="0" xfId="0" applyNumberFormat="1" applyFill="1" applyAlignment="1">
      <alignment vertical="center"/>
    </xf>
    <xf numFmtId="165" fontId="0" fillId="6" borderId="0" xfId="0" applyNumberFormat="1" applyFill="1"/>
    <xf numFmtId="4" fontId="33" fillId="0" borderId="0" xfId="0" applyNumberFormat="1" applyFont="1"/>
    <xf numFmtId="165" fontId="4" fillId="6" borderId="136" xfId="1" applyNumberFormat="1" applyFont="1" applyFill="1" applyBorder="1"/>
    <xf numFmtId="0" fontId="4" fillId="6" borderId="136" xfId="0" applyFont="1" applyFill="1" applyBorder="1"/>
    <xf numFmtId="165" fontId="4" fillId="6" borderId="136" xfId="0" applyNumberFormat="1" applyFont="1" applyFill="1" applyBorder="1"/>
    <xf numFmtId="0" fontId="21" fillId="0" borderId="0" xfId="0" applyFont="1" applyAlignment="1">
      <alignment horizontal="left"/>
    </xf>
    <xf numFmtId="17" fontId="16" fillId="0" borderId="0" xfId="0" applyNumberFormat="1" applyFont="1" applyAlignment="1">
      <alignment horizontal="center"/>
    </xf>
    <xf numFmtId="43" fontId="21" fillId="0" borderId="0" xfId="0" applyNumberFormat="1" applyFont="1"/>
    <xf numFmtId="0" fontId="21" fillId="0" borderId="0" xfId="0" applyFont="1" applyAlignment="1">
      <alignment horizontal="center" vertical="center"/>
    </xf>
    <xf numFmtId="165" fontId="21" fillId="0" borderId="0" xfId="1" applyNumberFormat="1" applyFont="1"/>
    <xf numFmtId="0" fontId="0" fillId="6" borderId="12" xfId="0" applyFill="1" applyBorder="1"/>
    <xf numFmtId="165" fontId="16" fillId="0" borderId="137" xfId="0" applyNumberFormat="1" applyFont="1" applyBorder="1"/>
    <xf numFmtId="0" fontId="35" fillId="3" borderId="1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1" fillId="3" borderId="12" xfId="0" applyFont="1" applyFill="1" applyBorder="1" applyAlignment="1">
      <alignment horizontal="center" wrapText="1"/>
    </xf>
    <xf numFmtId="0" fontId="37" fillId="0" borderId="12" xfId="0" applyFont="1" applyBorder="1" applyAlignment="1">
      <alignment horizontal="left" vertical="center" wrapText="1"/>
    </xf>
    <xf numFmtId="0" fontId="37" fillId="0" borderId="12" xfId="0" applyFont="1" applyBorder="1" applyAlignment="1">
      <alignment horizontal="center" vertical="center"/>
    </xf>
    <xf numFmtId="167" fontId="37" fillId="0" borderId="12" xfId="1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15" fontId="37" fillId="0" borderId="12" xfId="0" applyNumberFormat="1" applyFont="1" applyBorder="1" applyAlignment="1">
      <alignment horizontal="center" vertical="center"/>
    </xf>
    <xf numFmtId="167" fontId="38" fillId="0" borderId="12" xfId="1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left" vertical="center"/>
    </xf>
    <xf numFmtId="0" fontId="35" fillId="18" borderId="108" xfId="0" applyFont="1" applyFill="1" applyBorder="1" applyAlignment="1">
      <alignment vertical="center"/>
    </xf>
    <xf numFmtId="0" fontId="35" fillId="18" borderId="109" xfId="0" applyFont="1" applyFill="1" applyBorder="1" applyAlignment="1">
      <alignment horizontal="left" vertical="center"/>
    </xf>
    <xf numFmtId="167" fontId="35" fillId="18" borderId="12" xfId="1" applyNumberFormat="1" applyFont="1" applyFill="1" applyBorder="1" applyAlignment="1">
      <alignment horizontal="center" vertical="center"/>
    </xf>
    <xf numFmtId="43" fontId="35" fillId="18" borderId="12" xfId="1" applyFont="1" applyFill="1" applyBorder="1" applyAlignment="1">
      <alignment horizontal="center" vertical="center"/>
    </xf>
    <xf numFmtId="0" fontId="39" fillId="0" borderId="138" xfId="0" applyFont="1" applyBorder="1" applyAlignment="1">
      <alignment horizontal="left" vertical="center"/>
    </xf>
    <xf numFmtId="0" fontId="0" fillId="0" borderId="132" xfId="0" applyBorder="1"/>
    <xf numFmtId="0" fontId="37" fillId="19" borderId="12" xfId="0" applyFont="1" applyFill="1" applyBorder="1" applyAlignment="1">
      <alignment horizontal="center" vertical="center"/>
    </xf>
    <xf numFmtId="0" fontId="35" fillId="18" borderId="12" xfId="0" applyFont="1" applyFill="1" applyBorder="1" applyAlignment="1">
      <alignment vertical="center"/>
    </xf>
    <xf numFmtId="0" fontId="0" fillId="6" borderId="12" xfId="0" applyFill="1" applyBorder="1" applyAlignment="1">
      <alignment wrapText="1"/>
    </xf>
    <xf numFmtId="43" fontId="0" fillId="6" borderId="12" xfId="1" applyFont="1" applyFill="1" applyBorder="1"/>
    <xf numFmtId="165" fontId="0" fillId="6" borderId="12" xfId="1" applyNumberFormat="1" applyFont="1" applyFill="1" applyBorder="1"/>
    <xf numFmtId="165" fontId="10" fillId="0" borderId="12" xfId="1" applyNumberFormat="1" applyFont="1" applyFill="1" applyBorder="1"/>
    <xf numFmtId="0" fontId="9" fillId="0" borderId="0" xfId="0" applyFont="1"/>
    <xf numFmtId="0" fontId="4" fillId="0" borderId="12" xfId="0" applyFont="1" applyBorder="1" applyAlignment="1">
      <alignment horizontal="left"/>
    </xf>
    <xf numFmtId="1" fontId="0" fillId="0" borderId="12" xfId="0" applyNumberFormat="1" applyBorder="1" applyAlignment="1">
      <alignment horizontal="center"/>
    </xf>
    <xf numFmtId="9" fontId="0" fillId="0" borderId="12" xfId="2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65" fontId="0" fillId="0" borderId="120" xfId="0" applyNumberFormat="1" applyBorder="1"/>
    <xf numFmtId="9" fontId="4" fillId="0" borderId="12" xfId="2" applyFont="1" applyBorder="1" applyAlignment="1">
      <alignment horizontal="center"/>
    </xf>
    <xf numFmtId="0" fontId="7" fillId="20" borderId="12" xfId="0" applyFont="1" applyFill="1" applyBorder="1"/>
    <xf numFmtId="0" fontId="5" fillId="0" borderId="138" xfId="0" applyFont="1" applyBorder="1"/>
    <xf numFmtId="165" fontId="5" fillId="0" borderId="138" xfId="1" applyNumberFormat="1" applyFont="1" applyBorder="1"/>
    <xf numFmtId="165" fontId="7" fillId="20" borderId="12" xfId="1" applyNumberFormat="1" applyFont="1" applyFill="1" applyBorder="1"/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0" fontId="4" fillId="0" borderId="12" xfId="0" applyFont="1" applyBorder="1" applyAlignment="1">
      <alignment vertical="center" wrapText="1"/>
    </xf>
    <xf numFmtId="43" fontId="0" fillId="0" borderId="12" xfId="1" applyFont="1" applyBorder="1"/>
    <xf numFmtId="0" fontId="4" fillId="0" borderId="139" xfId="0" applyFont="1" applyBorder="1"/>
    <xf numFmtId="165" fontId="4" fillId="0" borderId="139" xfId="1" applyNumberFormat="1" applyFont="1" applyBorder="1"/>
    <xf numFmtId="165" fontId="4" fillId="0" borderId="140" xfId="1" applyNumberFormat="1" applyFont="1" applyBorder="1"/>
    <xf numFmtId="1" fontId="0" fillId="0" borderId="0" xfId="0" applyNumberFormat="1"/>
    <xf numFmtId="0" fontId="9" fillId="0" borderId="108" xfId="0" applyFont="1" applyBorder="1"/>
    <xf numFmtId="0" fontId="4" fillId="0" borderId="108" xfId="0" applyFont="1" applyBorder="1" applyAlignment="1">
      <alignment horizontal="left"/>
    </xf>
    <xf numFmtId="0" fontId="4" fillId="0" borderId="110" xfId="0" applyFont="1" applyBorder="1"/>
    <xf numFmtId="0" fontId="4" fillId="0" borderId="109" xfId="0" applyFont="1" applyBorder="1"/>
    <xf numFmtId="0" fontId="0" fillId="0" borderId="12" xfId="0" applyBorder="1" applyAlignment="1">
      <alignment horizontal="center"/>
    </xf>
    <xf numFmtId="165" fontId="4" fillId="0" borderId="12" xfId="1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70" fontId="0" fillId="0" borderId="0" xfId="0" applyNumberFormat="1"/>
    <xf numFmtId="165" fontId="7" fillId="0" borderId="0" xfId="1" applyNumberFormat="1" applyFont="1" applyFill="1" applyBorder="1"/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6" borderId="12" xfId="0" applyFont="1" applyFill="1" applyBorder="1"/>
    <xf numFmtId="165" fontId="0" fillId="0" borderId="12" xfId="0" applyNumberFormat="1" applyBorder="1"/>
    <xf numFmtId="0" fontId="5" fillId="0" borderId="12" xfId="0" applyFont="1" applyBorder="1"/>
    <xf numFmtId="165" fontId="21" fillId="6" borderId="12" xfId="1" applyNumberFormat="1" applyFont="1" applyFill="1" applyBorder="1"/>
    <xf numFmtId="0" fontId="21" fillId="6" borderId="12" xfId="0" applyFont="1" applyFill="1" applyBorder="1" applyAlignment="1">
      <alignment horizontal="center"/>
    </xf>
    <xf numFmtId="165" fontId="21" fillId="6" borderId="12" xfId="1" applyNumberFormat="1" applyFont="1" applyFill="1" applyBorder="1" applyAlignment="1">
      <alignment horizontal="center"/>
    </xf>
    <xf numFmtId="0" fontId="21" fillId="6" borderId="12" xfId="0" applyFont="1" applyFill="1" applyBorder="1"/>
    <xf numFmtId="0" fontId="16" fillId="6" borderId="110" xfId="0" applyFont="1" applyFill="1" applyBorder="1"/>
    <xf numFmtId="165" fontId="16" fillId="6" borderId="110" xfId="0" applyNumberFormat="1" applyFont="1" applyFill="1" applyBorder="1" applyAlignment="1">
      <alignment horizontal="center"/>
    </xf>
    <xf numFmtId="0" fontId="0" fillId="0" borderId="110" xfId="0" applyBorder="1" applyAlignment="1">
      <alignment horizontal="center"/>
    </xf>
    <xf numFmtId="0" fontId="9" fillId="0" borderId="0" xfId="0" applyFont="1" applyAlignment="1">
      <alignment vertical="top"/>
    </xf>
    <xf numFmtId="0" fontId="40" fillId="0" borderId="0" xfId="0" applyFont="1" applyAlignment="1">
      <alignment horizontal="center"/>
    </xf>
    <xf numFmtId="0" fontId="40" fillId="0" borderId="12" xfId="0" applyFont="1" applyBorder="1" applyAlignment="1">
      <alignment horizontal="center"/>
    </xf>
    <xf numFmtId="1" fontId="40" fillId="0" borderId="12" xfId="0" applyNumberFormat="1" applyFont="1" applyBorder="1" applyAlignment="1">
      <alignment horizontal="center"/>
    </xf>
    <xf numFmtId="43" fontId="40" fillId="0" borderId="12" xfId="1" applyFont="1" applyBorder="1" applyAlignment="1">
      <alignment horizontal="center"/>
    </xf>
    <xf numFmtId="0" fontId="40" fillId="0" borderId="12" xfId="0" applyFont="1" applyBorder="1"/>
    <xf numFmtId="43" fontId="40" fillId="0" borderId="12" xfId="1" applyFont="1" applyFill="1" applyBorder="1"/>
    <xf numFmtId="4" fontId="40" fillId="0" borderId="12" xfId="0" applyNumberFormat="1" applyFont="1" applyBorder="1"/>
    <xf numFmtId="0" fontId="40" fillId="0" borderId="12" xfId="0" applyFont="1" applyBorder="1" applyAlignment="1">
      <alignment horizontal="left"/>
    </xf>
    <xf numFmtId="1" fontId="40" fillId="0" borderId="12" xfId="0" quotePrefix="1" applyNumberFormat="1" applyFont="1" applyBorder="1" applyAlignment="1">
      <alignment horizontal="center"/>
    </xf>
    <xf numFmtId="43" fontId="40" fillId="0" borderId="120" xfId="1" applyFont="1" applyFill="1" applyBorder="1"/>
    <xf numFmtId="1" fontId="40" fillId="0" borderId="0" xfId="0" applyNumberFormat="1" applyFont="1" applyAlignment="1">
      <alignment horizontal="center"/>
    </xf>
    <xf numFmtId="0" fontId="40" fillId="0" borderId="0" xfId="0" applyFont="1"/>
    <xf numFmtId="43" fontId="40" fillId="0" borderId="0" xfId="1" applyFont="1" applyFill="1" applyBorder="1"/>
    <xf numFmtId="0" fontId="40" fillId="0" borderId="12" xfId="0" quotePrefix="1" applyFont="1" applyBorder="1" applyAlignment="1">
      <alignment horizontal="center"/>
    </xf>
    <xf numFmtId="0" fontId="43" fillId="0" borderId="0" xfId="0" applyFont="1"/>
    <xf numFmtId="0" fontId="44" fillId="0" borderId="110" xfId="0" applyFont="1" applyBorder="1"/>
    <xf numFmtId="0" fontId="44" fillId="0" borderId="110" xfId="0" applyFont="1" applyBorder="1" applyAlignment="1">
      <alignment horizontal="center"/>
    </xf>
    <xf numFmtId="43" fontId="44" fillId="0" borderId="110" xfId="1" applyFont="1" applyFill="1" applyBorder="1"/>
    <xf numFmtId="0" fontId="40" fillId="0" borderId="134" xfId="0" applyFont="1" applyBorder="1"/>
    <xf numFmtId="0" fontId="40" fillId="0" borderId="134" xfId="0" applyFont="1" applyBorder="1" applyAlignment="1">
      <alignment horizontal="center"/>
    </xf>
    <xf numFmtId="0" fontId="43" fillId="0" borderId="12" xfId="0" applyFont="1" applyBorder="1"/>
    <xf numFmtId="43" fontId="43" fillId="0" borderId="12" xfId="1" applyFont="1" applyBorder="1"/>
    <xf numFmtId="167" fontId="41" fillId="0" borderId="12" xfId="1" applyNumberFormat="1" applyFont="1" applyBorder="1"/>
    <xf numFmtId="0" fontId="43" fillId="0" borderId="12" xfId="0" applyFont="1" applyBorder="1" applyAlignment="1">
      <alignment horizontal="center"/>
    </xf>
    <xf numFmtId="43" fontId="43" fillId="0" borderId="12" xfId="1" applyFont="1" applyBorder="1" applyAlignment="1">
      <alignment horizontal="center"/>
    </xf>
    <xf numFmtId="43" fontId="41" fillId="0" borderId="12" xfId="0" applyNumberFormat="1" applyFont="1" applyBorder="1"/>
    <xf numFmtId="43" fontId="43" fillId="0" borderId="12" xfId="0" applyNumberFormat="1" applyFont="1" applyBorder="1"/>
    <xf numFmtId="0" fontId="46" fillId="0" borderId="16" xfId="0" applyFont="1" applyBorder="1"/>
    <xf numFmtId="2" fontId="46" fillId="0" borderId="18" xfId="0" applyNumberFormat="1" applyFont="1" applyBorder="1"/>
    <xf numFmtId="0" fontId="46" fillId="0" borderId="13" xfId="0" applyFont="1" applyBorder="1"/>
    <xf numFmtId="165" fontId="46" fillId="0" borderId="15" xfId="1" applyNumberFormat="1" applyFont="1" applyBorder="1"/>
    <xf numFmtId="0" fontId="46" fillId="0" borderId="143" xfId="0" applyFont="1" applyBorder="1" applyAlignment="1">
      <alignment vertical="top" wrapText="1"/>
    </xf>
    <xf numFmtId="165" fontId="46" fillId="0" borderId="144" xfId="1" applyNumberFormat="1" applyFont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31" fillId="16" borderId="12" xfId="0" applyFont="1" applyFill="1" applyBorder="1" applyAlignment="1">
      <alignment horizontal="center" vertical="center" wrapText="1"/>
    </xf>
    <xf numFmtId="165" fontId="46" fillId="21" borderId="18" xfId="1" applyNumberFormat="1" applyFont="1" applyFill="1" applyBorder="1" applyAlignment="1">
      <alignment horizontal="right"/>
    </xf>
    <xf numFmtId="165" fontId="46" fillId="21" borderId="18" xfId="1" applyNumberFormat="1" applyFont="1" applyFill="1" applyBorder="1"/>
    <xf numFmtId="165" fontId="21" fillId="21" borderId="12" xfId="0" applyNumberFormat="1" applyFont="1" applyFill="1" applyBorder="1" applyAlignment="1">
      <alignment horizontal="center"/>
    </xf>
    <xf numFmtId="165" fontId="21" fillId="21" borderId="12" xfId="1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" fontId="0" fillId="0" borderId="12" xfId="0" applyNumberFormat="1" applyBorder="1"/>
    <xf numFmtId="1" fontId="4" fillId="0" borderId="12" xfId="0" applyNumberFormat="1" applyFont="1" applyBorder="1"/>
    <xf numFmtId="165" fontId="0" fillId="21" borderId="12" xfId="1" applyNumberFormat="1" applyFont="1" applyFill="1" applyBorder="1" applyAlignment="1">
      <alignment horizontal="center"/>
    </xf>
    <xf numFmtId="165" fontId="0" fillId="21" borderId="12" xfId="1" applyNumberFormat="1" applyFont="1" applyFill="1" applyBorder="1"/>
    <xf numFmtId="0" fontId="0" fillId="0" borderId="12" xfId="0" applyBorder="1" applyAlignment="1">
      <alignment vertical="center" wrapText="1"/>
    </xf>
    <xf numFmtId="165" fontId="0" fillId="0" borderId="12" xfId="0" applyNumberFormat="1" applyBorder="1" applyAlignment="1">
      <alignment vertical="center" wrapText="1"/>
    </xf>
    <xf numFmtId="1" fontId="0" fillId="0" borderId="12" xfId="0" applyNumberFormat="1" applyBorder="1" applyAlignment="1">
      <alignment vertical="center" wrapText="1"/>
    </xf>
    <xf numFmtId="165" fontId="4" fillId="0" borderId="12" xfId="0" applyNumberFormat="1" applyFont="1" applyBorder="1"/>
    <xf numFmtId="167" fontId="38" fillId="21" borderId="12" xfId="1" applyNumberFormat="1" applyFont="1" applyFill="1" applyBorder="1" applyAlignment="1">
      <alignment horizontal="center" vertical="center"/>
    </xf>
    <xf numFmtId="167" fontId="37" fillId="21" borderId="12" xfId="1" applyNumberFormat="1" applyFont="1" applyFill="1" applyBorder="1" applyAlignment="1">
      <alignment horizontal="center" vertical="center"/>
    </xf>
    <xf numFmtId="165" fontId="10" fillId="21" borderId="12" xfId="1" applyNumberFormat="1" applyFont="1" applyFill="1" applyBorder="1"/>
    <xf numFmtId="0" fontId="0" fillId="21" borderId="12" xfId="0" applyFill="1" applyBorder="1"/>
    <xf numFmtId="43" fontId="0" fillId="21" borderId="12" xfId="0" applyNumberFormat="1" applyFill="1" applyBorder="1"/>
    <xf numFmtId="165" fontId="28" fillId="21" borderId="18" xfId="1" applyNumberFormat="1" applyFont="1" applyFill="1" applyBorder="1" applyAlignment="1">
      <alignment vertical="center"/>
    </xf>
    <xf numFmtId="165" fontId="0" fillId="21" borderId="0" xfId="1" applyNumberFormat="1" applyFont="1" applyFill="1"/>
    <xf numFmtId="43" fontId="0" fillId="21" borderId="0" xfId="1" applyFont="1" applyFill="1"/>
    <xf numFmtId="165" fontId="4" fillId="21" borderId="136" xfId="1" applyNumberFormat="1" applyFont="1" applyFill="1" applyBorder="1"/>
    <xf numFmtId="0" fontId="4" fillId="21" borderId="136" xfId="0" applyFont="1" applyFill="1" applyBorder="1"/>
    <xf numFmtId="15" fontId="4" fillId="6" borderId="0" xfId="0" applyNumberFormat="1" applyFont="1" applyFill="1"/>
    <xf numFmtId="15" fontId="4" fillId="6" borderId="0" xfId="0" quotePrefix="1" applyNumberFormat="1" applyFont="1" applyFill="1"/>
    <xf numFmtId="15" fontId="4" fillId="6" borderId="18" xfId="0" quotePrefix="1" applyNumberFormat="1" applyFont="1" applyFill="1" applyBorder="1"/>
    <xf numFmtId="165" fontId="4" fillId="6" borderId="0" xfId="1" applyNumberFormat="1" applyFont="1" applyFill="1" applyBorder="1"/>
    <xf numFmtId="165" fontId="4" fillId="6" borderId="18" xfId="1" applyNumberFormat="1" applyFont="1" applyFill="1" applyBorder="1"/>
    <xf numFmtId="0" fontId="4" fillId="6" borderId="16" xfId="0" applyFont="1" applyFill="1" applyBorder="1" applyAlignment="1">
      <alignment wrapText="1"/>
    </xf>
    <xf numFmtId="43" fontId="4" fillId="6" borderId="0" xfId="1" applyFont="1" applyFill="1" applyBorder="1"/>
    <xf numFmtId="43" fontId="4" fillId="6" borderId="18" xfId="1" applyFont="1" applyFill="1" applyBorder="1"/>
    <xf numFmtId="14" fontId="0" fillId="0" borderId="0" xfId="0" applyNumberFormat="1" applyAlignment="1">
      <alignment horizontal="center"/>
    </xf>
    <xf numFmtId="1" fontId="0" fillId="0" borderId="0" xfId="1" applyNumberFormat="1" applyFont="1" applyFill="1"/>
    <xf numFmtId="0" fontId="34" fillId="0" borderId="0" xfId="0" applyFont="1"/>
    <xf numFmtId="165" fontId="4" fillId="0" borderId="136" xfId="1" applyNumberFormat="1" applyFont="1" applyFill="1" applyBorder="1"/>
    <xf numFmtId="167" fontId="0" fillId="0" borderId="0" xfId="0" applyNumberFormat="1"/>
    <xf numFmtId="165" fontId="0" fillId="0" borderId="12" xfId="1" applyNumberFormat="1" applyFont="1" applyFill="1" applyBorder="1" applyAlignment="1">
      <alignment horizontal="center"/>
    </xf>
    <xf numFmtId="43" fontId="0" fillId="0" borderId="12" xfId="1" applyFont="1" applyFill="1" applyBorder="1" applyAlignment="1">
      <alignment horizontal="center"/>
    </xf>
    <xf numFmtId="165" fontId="0" fillId="0" borderId="12" xfId="1" applyNumberFormat="1" applyFont="1" applyFill="1" applyBorder="1" applyAlignment="1">
      <alignment horizontal="right"/>
    </xf>
    <xf numFmtId="1" fontId="0" fillId="0" borderId="12" xfId="0" applyNumberFormat="1" applyBorder="1" applyAlignment="1">
      <alignment horizontal="right"/>
    </xf>
    <xf numFmtId="165" fontId="5" fillId="21" borderId="12" xfId="1" applyNumberFormat="1" applyFont="1" applyFill="1" applyBorder="1" applyAlignment="1">
      <alignment horizontal="left" indent="1"/>
    </xf>
    <xf numFmtId="165" fontId="5" fillId="21" borderId="12" xfId="1" applyNumberFormat="1" applyFont="1" applyFill="1" applyBorder="1"/>
    <xf numFmtId="0" fontId="47" fillId="0" borderId="0" xfId="0" applyFont="1"/>
    <xf numFmtId="167" fontId="0" fillId="21" borderId="12" xfId="1" applyNumberFormat="1" applyFont="1" applyFill="1" applyBorder="1" applyAlignment="1">
      <alignment vertical="center"/>
    </xf>
    <xf numFmtId="167" fontId="0" fillId="21" borderId="12" xfId="1" applyNumberFormat="1" applyFont="1" applyFill="1" applyBorder="1"/>
    <xf numFmtId="165" fontId="4" fillId="2" borderId="18" xfId="1" applyNumberFormat="1" applyFont="1" applyFill="1" applyBorder="1" applyAlignment="1">
      <alignment horizontal="right"/>
    </xf>
    <xf numFmtId="43" fontId="0" fillId="0" borderId="0" xfId="1" applyFont="1" applyAlignment="1">
      <alignment horizontal="right"/>
    </xf>
    <xf numFmtId="43" fontId="40" fillId="0" borderId="12" xfId="1" applyFont="1" applyBorder="1" applyAlignment="1">
      <alignment horizontal="right"/>
    </xf>
    <xf numFmtId="43" fontId="41" fillId="0" borderId="12" xfId="1" applyFont="1" applyBorder="1" applyAlignment="1">
      <alignment horizontal="right"/>
    </xf>
    <xf numFmtId="43" fontId="45" fillId="23" borderId="135" xfId="1" applyFont="1" applyFill="1" applyBorder="1" applyAlignment="1">
      <alignment horizontal="right"/>
    </xf>
    <xf numFmtId="43" fontId="43" fillId="0" borderId="12" xfId="1" applyFont="1" applyBorder="1" applyAlignment="1">
      <alignment horizontal="right"/>
    </xf>
    <xf numFmtId="43" fontId="41" fillId="23" borderId="12" xfId="1" applyFont="1" applyFill="1" applyBorder="1" applyAlignment="1">
      <alignment horizontal="right"/>
    </xf>
    <xf numFmtId="43" fontId="40" fillId="0" borderId="141" xfId="1" applyFont="1" applyBorder="1" applyAlignment="1">
      <alignment horizontal="right"/>
    </xf>
    <xf numFmtId="43" fontId="45" fillId="23" borderId="142" xfId="1" applyFont="1" applyFill="1" applyBorder="1" applyAlignment="1">
      <alignment horizontal="right"/>
    </xf>
    <xf numFmtId="43" fontId="40" fillId="0" borderId="0" xfId="1" applyFont="1" applyAlignment="1">
      <alignment horizontal="right"/>
    </xf>
    <xf numFmtId="43" fontId="41" fillId="0" borderId="124" xfId="1" applyFont="1" applyBorder="1" applyAlignment="1">
      <alignment horizontal="right"/>
    </xf>
    <xf numFmtId="43" fontId="41" fillId="21" borderId="12" xfId="1" applyFont="1" applyFill="1" applyBorder="1" applyAlignment="1">
      <alignment horizontal="right"/>
    </xf>
    <xf numFmtId="43" fontId="42" fillId="21" borderId="135" xfId="1" applyFont="1" applyFill="1" applyBorder="1" applyAlignment="1">
      <alignment horizontal="right"/>
    </xf>
    <xf numFmtId="43" fontId="42" fillId="23" borderId="135" xfId="1" applyFont="1" applyFill="1" applyBorder="1" applyAlignment="1">
      <alignment horizontal="right"/>
    </xf>
    <xf numFmtId="43" fontId="41" fillId="0" borderId="12" xfId="1" applyFont="1" applyFill="1" applyBorder="1" applyAlignment="1">
      <alignment horizontal="right"/>
    </xf>
    <xf numFmtId="43" fontId="43" fillId="0" borderId="12" xfId="1" applyFont="1" applyFill="1" applyBorder="1" applyAlignment="1">
      <alignment horizontal="right"/>
    </xf>
    <xf numFmtId="43" fontId="40" fillId="21" borderId="12" xfId="1" applyFont="1" applyFill="1" applyBorder="1" applyAlignment="1">
      <alignment horizontal="right"/>
    </xf>
    <xf numFmtId="43" fontId="40" fillId="23" borderId="12" xfId="1" applyFont="1" applyFill="1" applyBorder="1" applyAlignment="1">
      <alignment horizontal="right"/>
    </xf>
    <xf numFmtId="43" fontId="43" fillId="0" borderId="0" xfId="1" applyFont="1" applyBorder="1" applyAlignment="1">
      <alignment horizontal="right"/>
    </xf>
    <xf numFmtId="43" fontId="42" fillId="23" borderId="132" xfId="1" applyFont="1" applyFill="1" applyBorder="1" applyAlignment="1">
      <alignment horizontal="right"/>
    </xf>
    <xf numFmtId="43" fontId="42" fillId="0" borderId="0" xfId="1" applyFont="1" applyFill="1" applyBorder="1" applyAlignment="1">
      <alignment horizontal="right"/>
    </xf>
    <xf numFmtId="43" fontId="43" fillId="0" borderId="0" xfId="1" applyFont="1" applyFill="1" applyBorder="1" applyAlignment="1">
      <alignment horizontal="right"/>
    </xf>
    <xf numFmtId="43" fontId="45" fillId="0" borderId="110" xfId="1" applyFont="1" applyFill="1" applyBorder="1" applyAlignment="1">
      <alignment horizontal="right"/>
    </xf>
    <xf numFmtId="43" fontId="41" fillId="0" borderId="110" xfId="1" applyFont="1" applyFill="1" applyBorder="1" applyAlignment="1">
      <alignment horizontal="right"/>
    </xf>
    <xf numFmtId="43" fontId="10" fillId="0" borderId="0" xfId="1" applyFont="1" applyAlignment="1">
      <alignment horizontal="right" wrapText="1"/>
    </xf>
    <xf numFmtId="0" fontId="48" fillId="0" borderId="143" xfId="0" applyFont="1" applyBorder="1"/>
    <xf numFmtId="43" fontId="48" fillId="0" borderId="144" xfId="1" applyFont="1" applyBorder="1"/>
    <xf numFmtId="0" fontId="0" fillId="24" borderId="12" xfId="0" applyFill="1" applyBorder="1"/>
    <xf numFmtId="43" fontId="0" fillId="24" borderId="12" xfId="1" applyFont="1" applyFill="1" applyBorder="1"/>
    <xf numFmtId="15" fontId="0" fillId="0" borderId="12" xfId="0" applyNumberFormat="1" applyBorder="1"/>
    <xf numFmtId="0" fontId="0" fillId="25" borderId="12" xfId="0" applyFill="1" applyBorder="1"/>
    <xf numFmtId="43" fontId="0" fillId="25" borderId="12" xfId="1" applyFont="1" applyFill="1" applyBorder="1"/>
    <xf numFmtId="0" fontId="0" fillId="0" borderId="0" xfId="0" applyAlignment="1">
      <alignment horizontal="left" vertical="top"/>
    </xf>
    <xf numFmtId="43" fontId="0" fillId="0" borderId="0" xfId="1" applyFont="1" applyAlignment="1">
      <alignment horizontal="left" vertical="top"/>
    </xf>
    <xf numFmtId="43" fontId="0" fillId="0" borderId="0" xfId="1" applyFont="1" applyAlignment="1">
      <alignment vertical="center"/>
    </xf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0" fontId="52" fillId="0" borderId="0" xfId="0" applyFont="1" applyAlignment="1">
      <alignment vertical="top" wrapText="1"/>
    </xf>
    <xf numFmtId="0" fontId="56" fillId="0" borderId="0" xfId="0" applyFont="1" applyAlignment="1">
      <alignment vertical="top"/>
    </xf>
    <xf numFmtId="43" fontId="56" fillId="0" borderId="0" xfId="1" applyFont="1" applyAlignment="1">
      <alignment vertical="top"/>
    </xf>
    <xf numFmtId="0" fontId="0" fillId="0" borderId="0" xfId="0" applyAlignment="1">
      <alignment horizontal="left" vertical="center"/>
    </xf>
    <xf numFmtId="0" fontId="58" fillId="0" borderId="145" xfId="0" applyFont="1" applyBorder="1" applyAlignment="1">
      <alignment horizontal="left" vertical="top"/>
    </xf>
    <xf numFmtId="0" fontId="58" fillId="0" borderId="145" xfId="0" applyFont="1" applyBorder="1" applyAlignment="1">
      <alignment horizontal="left" vertical="center"/>
    </xf>
    <xf numFmtId="0" fontId="58" fillId="0" borderId="145" xfId="0" applyFont="1" applyBorder="1" applyAlignment="1">
      <alignment horizontal="right" vertical="center"/>
    </xf>
    <xf numFmtId="43" fontId="58" fillId="0" borderId="145" xfId="1" applyFont="1" applyBorder="1" applyAlignment="1">
      <alignment horizontal="right" vertical="center"/>
    </xf>
    <xf numFmtId="0" fontId="0" fillId="0" borderId="146" xfId="0" applyBorder="1" applyAlignment="1">
      <alignment horizontal="left" vertical="center"/>
    </xf>
    <xf numFmtId="0" fontId="59" fillId="0" borderId="146" xfId="0" applyFont="1" applyBorder="1" applyAlignment="1">
      <alignment horizontal="left" vertical="top"/>
    </xf>
    <xf numFmtId="43" fontId="49" fillId="0" borderId="146" xfId="1" applyFont="1" applyBorder="1" applyAlignment="1">
      <alignment horizontal="right" vertical="top" shrinkToFit="1"/>
    </xf>
    <xf numFmtId="0" fontId="0" fillId="0" borderId="0" xfId="0" applyAlignment="1">
      <alignment horizontal="left"/>
    </xf>
    <xf numFmtId="171" fontId="50" fillId="0" borderId="147" xfId="0" applyNumberFormat="1" applyFont="1" applyBorder="1" applyAlignment="1">
      <alignment horizontal="left" vertical="top" shrinkToFit="1"/>
    </xf>
    <xf numFmtId="0" fontId="59" fillId="0" borderId="147" xfId="0" applyFont="1" applyBorder="1" applyAlignment="1">
      <alignment horizontal="left" vertical="top"/>
    </xf>
    <xf numFmtId="0" fontId="0" fillId="0" borderId="147" xfId="0" applyBorder="1" applyAlignment="1">
      <alignment horizontal="left"/>
    </xf>
    <xf numFmtId="4" fontId="50" fillId="0" borderId="147" xfId="0" applyNumberFormat="1" applyFont="1" applyBorder="1" applyAlignment="1">
      <alignment horizontal="right" vertical="top" shrinkToFit="1"/>
    </xf>
    <xf numFmtId="43" fontId="53" fillId="0" borderId="147" xfId="1" applyFont="1" applyBorder="1" applyAlignment="1">
      <alignment horizontal="right" vertical="top" shrinkToFit="1"/>
    </xf>
    <xf numFmtId="0" fontId="58" fillId="0" borderId="145" xfId="0" applyFont="1" applyBorder="1" applyAlignment="1">
      <alignment vertical="center"/>
    </xf>
    <xf numFmtId="0" fontId="58" fillId="0" borderId="145" xfId="0" applyFont="1" applyBorder="1" applyAlignment="1">
      <alignment horizontal="center" vertical="center"/>
    </xf>
    <xf numFmtId="0" fontId="0" fillId="0" borderId="146" xfId="0" applyBorder="1" applyAlignment="1">
      <alignment vertical="center"/>
    </xf>
    <xf numFmtId="2" fontId="50" fillId="0" borderId="147" xfId="0" applyNumberFormat="1" applyFont="1" applyBorder="1" applyAlignment="1">
      <alignment vertical="top" shrinkToFit="1"/>
    </xf>
    <xf numFmtId="171" fontId="50" fillId="0" borderId="147" xfId="0" applyNumberFormat="1" applyFont="1" applyBorder="1" applyAlignment="1">
      <alignment horizontal="center" vertical="top" shrinkToFit="1"/>
    </xf>
    <xf numFmtId="4" fontId="60" fillId="0" borderId="147" xfId="0" applyNumberFormat="1" applyFont="1" applyBorder="1" applyAlignment="1">
      <alignment vertical="top" shrinkToFit="1"/>
    </xf>
    <xf numFmtId="0" fontId="0" fillId="0" borderId="147" xfId="0" applyBorder="1" applyAlignment="1">
      <alignment horizontal="left" vertical="center"/>
    </xf>
    <xf numFmtId="4" fontId="48" fillId="0" borderId="144" xfId="0" applyNumberFormat="1" applyFont="1" applyBorder="1"/>
    <xf numFmtId="0" fontId="61" fillId="0" borderId="0" xfId="0" applyFont="1"/>
    <xf numFmtId="3" fontId="0" fillId="0" borderId="0" xfId="0" applyNumberFormat="1"/>
    <xf numFmtId="4" fontId="0" fillId="0" borderId="0" xfId="0" applyNumberFormat="1"/>
    <xf numFmtId="0" fontId="62" fillId="26" borderId="0" xfId="0" applyFont="1" applyFill="1" applyAlignment="1">
      <alignment horizontal="left" vertical="top" wrapText="1"/>
    </xf>
    <xf numFmtId="43" fontId="62" fillId="26" borderId="0" xfId="1" applyFont="1" applyFill="1" applyAlignment="1">
      <alignment horizontal="left" vertical="top" wrapText="1"/>
    </xf>
    <xf numFmtId="0" fontId="66" fillId="26" borderId="148" xfId="0" applyFont="1" applyFill="1" applyBorder="1" applyAlignment="1">
      <alignment horizontal="left" vertical="center" wrapText="1"/>
    </xf>
    <xf numFmtId="0" fontId="66" fillId="26" borderId="0" xfId="0" applyFont="1" applyFill="1" applyAlignment="1">
      <alignment horizontal="left" vertical="top" wrapText="1"/>
    </xf>
    <xf numFmtId="0" fontId="63" fillId="26" borderId="0" xfId="0" applyFont="1" applyFill="1" applyAlignment="1">
      <alignment horizontal="left" vertical="top" wrapText="1"/>
    </xf>
    <xf numFmtId="0" fontId="66" fillId="27" borderId="151" xfId="0" applyFont="1" applyFill="1" applyBorder="1" applyAlignment="1">
      <alignment horizontal="center" vertical="top" wrapText="1"/>
    </xf>
    <xf numFmtId="0" fontId="66" fillId="27" borderId="151" xfId="0" applyFont="1" applyFill="1" applyBorder="1" applyAlignment="1">
      <alignment horizontal="left" vertical="top" wrapText="1"/>
    </xf>
    <xf numFmtId="43" fontId="66" fillId="27" borderId="151" xfId="1" applyFont="1" applyFill="1" applyBorder="1" applyAlignment="1">
      <alignment horizontal="left" vertical="top" wrapText="1"/>
    </xf>
    <xf numFmtId="0" fontId="67" fillId="26" borderId="151" xfId="0" applyFont="1" applyFill="1" applyBorder="1" applyAlignment="1">
      <alignment horizontal="center" vertical="center" wrapText="1"/>
    </xf>
    <xf numFmtId="43" fontId="67" fillId="26" borderId="151" xfId="1" applyFont="1" applyFill="1" applyBorder="1" applyAlignment="1">
      <alignment horizontal="center" vertical="center" wrapText="1"/>
    </xf>
    <xf numFmtId="0" fontId="67" fillId="26" borderId="152" xfId="0" applyFont="1" applyFill="1" applyBorder="1" applyAlignment="1">
      <alignment horizontal="center" vertical="center" wrapText="1"/>
    </xf>
    <xf numFmtId="0" fontId="67" fillId="26" borderId="153" xfId="0" applyFont="1" applyFill="1" applyBorder="1" applyAlignment="1">
      <alignment horizontal="center" vertical="center" wrapText="1"/>
    </xf>
    <xf numFmtId="43" fontId="67" fillId="26" borderId="154" xfId="1" applyFont="1" applyFill="1" applyBorder="1" applyAlignment="1">
      <alignment horizontal="center" vertical="center" wrapText="1"/>
    </xf>
    <xf numFmtId="14" fontId="0" fillId="0" borderId="0" xfId="0" applyNumberFormat="1"/>
    <xf numFmtId="0" fontId="68" fillId="29" borderId="155" xfId="0" applyFont="1" applyFill="1" applyBorder="1" applyAlignment="1">
      <alignment horizontal="left" vertical="top"/>
    </xf>
    <xf numFmtId="0" fontId="68" fillId="29" borderId="155" xfId="0" applyFont="1" applyFill="1" applyBorder="1" applyAlignment="1">
      <alignment horizontal="left" vertical="center"/>
    </xf>
    <xf numFmtId="43" fontId="68" fillId="29" borderId="155" xfId="1" applyFont="1" applyFill="1" applyBorder="1" applyAlignment="1">
      <alignment horizontal="left" vertical="center"/>
    </xf>
    <xf numFmtId="43" fontId="68" fillId="29" borderId="156" xfId="1" applyFont="1" applyFill="1" applyBorder="1" applyAlignment="1">
      <alignment vertical="center"/>
    </xf>
    <xf numFmtId="172" fontId="70" fillId="0" borderId="155" xfId="0" applyNumberFormat="1" applyFont="1" applyBorder="1" applyAlignment="1">
      <alignment horizontal="left" vertical="center" shrinkToFit="1"/>
    </xf>
    <xf numFmtId="0" fontId="68" fillId="0" borderId="155" xfId="0" applyFont="1" applyBorder="1" applyAlignment="1">
      <alignment horizontal="left" vertical="center"/>
    </xf>
    <xf numFmtId="0" fontId="0" fillId="0" borderId="155" xfId="0" applyBorder="1" applyAlignment="1">
      <alignment horizontal="left" vertical="top"/>
    </xf>
    <xf numFmtId="0" fontId="0" fillId="0" borderId="155" xfId="0" applyBorder="1" applyAlignment="1">
      <alignment horizontal="left" vertical="top" wrapText="1"/>
    </xf>
    <xf numFmtId="43" fontId="71" fillId="0" borderId="155" xfId="1" applyFont="1" applyFill="1" applyBorder="1" applyAlignment="1">
      <alignment horizontal="left" vertical="center" shrinkToFit="1"/>
    </xf>
    <xf numFmtId="43" fontId="70" fillId="0" borderId="157" xfId="1" applyFont="1" applyBorder="1" applyAlignment="1">
      <alignment vertical="center" shrinkToFit="1"/>
    </xf>
    <xf numFmtId="173" fontId="70" fillId="0" borderId="155" xfId="0" applyNumberFormat="1" applyFont="1" applyBorder="1" applyAlignment="1">
      <alignment horizontal="left" vertical="center" shrinkToFit="1"/>
    </xf>
    <xf numFmtId="43" fontId="71" fillId="0" borderId="156" xfId="1" applyFont="1" applyFill="1" applyBorder="1" applyAlignment="1">
      <alignment horizontal="left" vertical="center" shrinkToFit="1"/>
    </xf>
    <xf numFmtId="43" fontId="0" fillId="0" borderId="12" xfId="1" applyFont="1" applyBorder="1" applyAlignment="1">
      <alignment horizontal="left" vertical="top"/>
    </xf>
    <xf numFmtId="0" fontId="68" fillId="29" borderId="155" xfId="0" applyFont="1" applyFill="1" applyBorder="1" applyAlignment="1">
      <alignment horizontal="left" vertical="top" wrapText="1"/>
    </xf>
    <xf numFmtId="0" fontId="68" fillId="29" borderId="155" xfId="0" applyFont="1" applyFill="1" applyBorder="1" applyAlignment="1">
      <alignment horizontal="left" vertical="center" wrapText="1"/>
    </xf>
    <xf numFmtId="172" fontId="70" fillId="0" borderId="155" xfId="0" applyNumberFormat="1" applyFont="1" applyBorder="1" applyAlignment="1">
      <alignment horizontal="left" vertical="top" shrinkToFit="1"/>
    </xf>
    <xf numFmtId="0" fontId="68" fillId="0" borderId="155" xfId="0" applyFont="1" applyBorder="1" applyAlignment="1">
      <alignment horizontal="left" vertical="top" wrapText="1"/>
    </xf>
    <xf numFmtId="2" fontId="70" fillId="0" borderId="155" xfId="0" applyNumberFormat="1" applyFont="1" applyBorder="1" applyAlignment="1">
      <alignment horizontal="left" vertical="top" shrinkToFit="1"/>
    </xf>
    <xf numFmtId="43" fontId="70" fillId="0" borderId="155" xfId="1" applyFont="1" applyBorder="1" applyAlignment="1">
      <alignment horizontal="left" vertical="top" shrinkToFit="1"/>
    </xf>
    <xf numFmtId="0" fontId="0" fillId="0" borderId="155" xfId="0" applyBorder="1" applyAlignment="1">
      <alignment horizontal="left" vertical="center"/>
    </xf>
    <xf numFmtId="43" fontId="70" fillId="0" borderId="155" xfId="1" applyFont="1" applyFill="1" applyBorder="1" applyAlignment="1">
      <alignment horizontal="left" vertical="center" shrinkToFit="1"/>
    </xf>
    <xf numFmtId="43" fontId="70" fillId="0" borderId="155" xfId="1" applyFont="1" applyBorder="1" applyAlignment="1">
      <alignment horizontal="left" vertical="center" shrinkToFit="1"/>
    </xf>
    <xf numFmtId="0" fontId="7" fillId="18" borderId="12" xfId="0" applyFont="1" applyFill="1" applyBorder="1"/>
    <xf numFmtId="43" fontId="7" fillId="18" borderId="12" xfId="1" applyFont="1" applyFill="1" applyBorder="1"/>
    <xf numFmtId="0" fontId="4" fillId="11" borderId="71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1" borderId="37" xfId="0" applyFont="1" applyFill="1" applyBorder="1" applyAlignment="1">
      <alignment horizontal="left" vertical="center" wrapText="1"/>
    </xf>
    <xf numFmtId="0" fontId="4" fillId="11" borderId="98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99" xfId="0" applyFont="1" applyFill="1" applyBorder="1" applyAlignment="1">
      <alignment horizontal="left" vertical="center" wrapText="1"/>
    </xf>
    <xf numFmtId="0" fontId="16" fillId="3" borderId="70" xfId="0" applyFont="1" applyFill="1" applyBorder="1" applyAlignment="1">
      <alignment horizontal="center"/>
    </xf>
    <xf numFmtId="0" fontId="16" fillId="3" borderId="30" xfId="0" applyFont="1" applyFill="1" applyBorder="1" applyAlignment="1">
      <alignment horizontal="center"/>
    </xf>
    <xf numFmtId="0" fontId="16" fillId="3" borderId="31" xfId="0" applyFont="1" applyFill="1" applyBorder="1" applyAlignment="1">
      <alignment horizontal="center"/>
    </xf>
    <xf numFmtId="0" fontId="4" fillId="0" borderId="108" xfId="0" applyFont="1" applyBorder="1" applyAlignment="1">
      <alignment horizontal="left" vertical="center" wrapText="1"/>
    </xf>
    <xf numFmtId="0" fontId="4" fillId="0" borderId="110" xfId="0" applyFont="1" applyBorder="1" applyAlignment="1">
      <alignment horizontal="left" vertical="center" wrapText="1"/>
    </xf>
    <xf numFmtId="0" fontId="4" fillId="0" borderId="109" xfId="0" applyFont="1" applyBorder="1" applyAlignment="1">
      <alignment horizontal="left" vertical="center" wrapText="1"/>
    </xf>
    <xf numFmtId="0" fontId="4" fillId="0" borderId="108" xfId="0" applyFont="1" applyBorder="1" applyAlignment="1">
      <alignment horizontal="center" vertical="center" wrapText="1"/>
    </xf>
    <xf numFmtId="0" fontId="4" fillId="0" borderId="110" xfId="0" applyFont="1" applyBorder="1" applyAlignment="1">
      <alignment horizontal="center" vertical="center" wrapText="1"/>
    </xf>
    <xf numFmtId="0" fontId="4" fillId="0" borderId="109" xfId="0" applyFont="1" applyBorder="1" applyAlignment="1">
      <alignment horizontal="center" vertical="center" wrapText="1"/>
    </xf>
    <xf numFmtId="0" fontId="4" fillId="11" borderId="111" xfId="0" applyFont="1" applyFill="1" applyBorder="1" applyAlignment="1">
      <alignment horizontal="left" vertical="center" wrapText="1"/>
    </xf>
    <xf numFmtId="0" fontId="4" fillId="11" borderId="112" xfId="0" applyFont="1" applyFill="1" applyBorder="1" applyAlignment="1">
      <alignment horizontal="left" vertical="center" wrapText="1"/>
    </xf>
    <xf numFmtId="0" fontId="4" fillId="11" borderId="113" xfId="0" applyFont="1" applyFill="1" applyBorder="1" applyAlignment="1">
      <alignment horizontal="left" vertical="center" wrapText="1"/>
    </xf>
    <xf numFmtId="0" fontId="8" fillId="0" borderId="114" xfId="0" applyFont="1" applyBorder="1" applyAlignment="1">
      <alignment horizontal="center"/>
    </xf>
    <xf numFmtId="0" fontId="8" fillId="0" borderId="95" xfId="0" applyFont="1" applyBorder="1" applyAlignment="1">
      <alignment horizontal="center"/>
    </xf>
    <xf numFmtId="0" fontId="8" fillId="0" borderId="115" xfId="0" applyFont="1" applyBorder="1" applyAlignment="1">
      <alignment horizontal="center"/>
    </xf>
    <xf numFmtId="0" fontId="7" fillId="0" borderId="97" xfId="0" applyFont="1" applyBorder="1" applyAlignment="1">
      <alignment horizontal="left" wrapText="1"/>
    </xf>
    <xf numFmtId="0" fontId="7" fillId="0" borderId="32" xfId="0" applyFont="1" applyBorder="1" applyAlignment="1">
      <alignment horizontal="left" wrapText="1"/>
    </xf>
    <xf numFmtId="0" fontId="7" fillId="0" borderId="76" xfId="0" applyFont="1" applyBorder="1" applyAlignment="1">
      <alignment horizontal="left" wrapText="1"/>
    </xf>
    <xf numFmtId="15" fontId="0" fillId="0" borderId="12" xfId="0" applyNumberFormat="1" applyBorder="1" applyAlignment="1">
      <alignment horizontal="center" vertical="center"/>
    </xf>
    <xf numFmtId="0" fontId="0" fillId="0" borderId="108" xfId="0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43" fontId="0" fillId="0" borderId="108" xfId="1" applyFont="1" applyBorder="1" applyAlignment="1">
      <alignment horizontal="center" vertical="center" wrapText="1"/>
    </xf>
    <xf numFmtId="43" fontId="0" fillId="0" borderId="109" xfId="1" applyFont="1" applyBorder="1" applyAlignment="1">
      <alignment horizontal="center" vertical="center" wrapText="1"/>
    </xf>
    <xf numFmtId="167" fontId="4" fillId="0" borderId="12" xfId="1" applyNumberFormat="1" applyFont="1" applyBorder="1" applyAlignment="1">
      <alignment horizontal="right" vertical="top"/>
    </xf>
    <xf numFmtId="43" fontId="4" fillId="0" borderId="108" xfId="1" applyFont="1" applyBorder="1" applyAlignment="1">
      <alignment horizontal="center" vertical="top"/>
    </xf>
    <xf numFmtId="43" fontId="4" fillId="0" borderId="109" xfId="1" applyFont="1" applyBorder="1" applyAlignment="1">
      <alignment horizontal="center" vertical="top"/>
    </xf>
    <xf numFmtId="0" fontId="4" fillId="0" borderId="108" xfId="0" applyFont="1" applyBorder="1" applyAlignment="1">
      <alignment horizontal="center" wrapText="1"/>
    </xf>
    <xf numFmtId="0" fontId="4" fillId="0" borderId="110" xfId="0" applyFont="1" applyBorder="1" applyAlignment="1">
      <alignment horizontal="center" wrapText="1"/>
    </xf>
    <xf numFmtId="0" fontId="4" fillId="0" borderId="109" xfId="0" applyFont="1" applyBorder="1" applyAlignment="1">
      <alignment horizontal="center" wrapText="1"/>
    </xf>
    <xf numFmtId="15" fontId="0" fillId="0" borderId="108" xfId="0" applyNumberFormat="1" applyBorder="1" applyAlignment="1">
      <alignment horizontal="center" vertical="center"/>
    </xf>
    <xf numFmtId="15" fontId="0" fillId="0" borderId="10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left" vertical="center" wrapText="1"/>
    </xf>
    <xf numFmtId="0" fontId="4" fillId="11" borderId="40" xfId="0" applyFont="1" applyFill="1" applyBorder="1" applyAlignment="1">
      <alignment horizontal="left" vertical="center" wrapText="1"/>
    </xf>
    <xf numFmtId="0" fontId="4" fillId="11" borderId="101" xfId="0" applyFont="1" applyFill="1" applyBorder="1" applyAlignment="1">
      <alignment horizontal="left" vertical="center" wrapText="1"/>
    </xf>
    <xf numFmtId="0" fontId="4" fillId="11" borderId="102" xfId="0" applyFont="1" applyFill="1" applyBorder="1" applyAlignment="1">
      <alignment horizontal="left" vertical="center" wrapText="1"/>
    </xf>
    <xf numFmtId="0" fontId="4" fillId="11" borderId="89" xfId="0" applyFont="1" applyFill="1" applyBorder="1" applyAlignment="1">
      <alignment horizontal="left" vertical="center" wrapText="1"/>
    </xf>
    <xf numFmtId="0" fontId="4" fillId="11" borderId="104" xfId="0" applyFont="1" applyFill="1" applyBorder="1" applyAlignment="1">
      <alignment horizontal="left" vertical="center" wrapText="1"/>
    </xf>
    <xf numFmtId="0" fontId="8" fillId="0" borderId="105" xfId="0" applyFont="1" applyBorder="1" applyAlignment="1">
      <alignment horizontal="center"/>
    </xf>
    <xf numFmtId="0" fontId="8" fillId="0" borderId="106" xfId="0" applyFont="1" applyBorder="1" applyAlignment="1">
      <alignment horizontal="center"/>
    </xf>
    <xf numFmtId="0" fontId="8" fillId="0" borderId="107" xfId="0" applyFont="1" applyBorder="1" applyAlignment="1">
      <alignment horizontal="center"/>
    </xf>
    <xf numFmtId="0" fontId="0" fillId="0" borderId="32" xfId="0" applyBorder="1" applyAlignment="1">
      <alignment horizontal="left" wrapText="1"/>
    </xf>
    <xf numFmtId="0" fontId="0" fillId="0" borderId="76" xfId="0" applyBorder="1" applyAlignment="1">
      <alignment horizontal="left" wrapText="1"/>
    </xf>
    <xf numFmtId="0" fontId="0" fillId="0" borderId="4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5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97" xfId="0" applyFont="1" applyBorder="1" applyAlignment="1">
      <alignment horizontal="left" vertical="top" wrapText="1"/>
    </xf>
    <xf numFmtId="0" fontId="10" fillId="0" borderId="32" xfId="0" applyFont="1" applyBorder="1" applyAlignment="1">
      <alignment horizontal="left" vertical="top" wrapText="1"/>
    </xf>
    <xf numFmtId="0" fontId="10" fillId="0" borderId="76" xfId="0" applyFont="1" applyBorder="1" applyAlignment="1">
      <alignment horizontal="left" vertical="top" wrapText="1"/>
    </xf>
    <xf numFmtId="0" fontId="4" fillId="0" borderId="9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8" fillId="0" borderId="100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9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2" xfId="0" applyBorder="1" applyAlignment="1">
      <alignment horizontal="center" wrapText="1"/>
    </xf>
    <xf numFmtId="0" fontId="0" fillId="0" borderId="89" xfId="0" applyBorder="1" applyAlignment="1">
      <alignment horizontal="center" wrapText="1"/>
    </xf>
    <xf numFmtId="0" fontId="0" fillId="0" borderId="103" xfId="0" applyBorder="1" applyAlignment="1">
      <alignment horizontal="center" wrapText="1"/>
    </xf>
    <xf numFmtId="0" fontId="10" fillId="0" borderId="54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101" xfId="0" applyFont="1" applyBorder="1" applyAlignment="1">
      <alignment horizontal="left" vertical="top" wrapText="1"/>
    </xf>
    <xf numFmtId="0" fontId="10" fillId="0" borderId="8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10" fillId="0" borderId="48" xfId="0" applyFont="1" applyBorder="1" applyAlignment="1">
      <alignment horizontal="left" vertical="top" wrapText="1"/>
    </xf>
    <xf numFmtId="0" fontId="10" fillId="0" borderId="89" xfId="0" applyFont="1" applyBorder="1" applyAlignment="1">
      <alignment horizontal="left" vertical="top" wrapText="1"/>
    </xf>
    <xf numFmtId="0" fontId="10" fillId="0" borderId="104" xfId="0" applyFont="1" applyBorder="1" applyAlignment="1">
      <alignment horizontal="left" vertical="top" wrapText="1"/>
    </xf>
    <xf numFmtId="0" fontId="0" fillId="0" borderId="85" xfId="0" applyBorder="1" applyAlignment="1">
      <alignment horizontal="left" vertical="top" wrapText="1"/>
    </xf>
    <xf numFmtId="0" fontId="0" fillId="0" borderId="89" xfId="0" applyBorder="1" applyAlignment="1">
      <alignment horizontal="left" vertical="top" wrapText="1"/>
    </xf>
    <xf numFmtId="0" fontId="8" fillId="0" borderId="35" xfId="0" applyFont="1" applyBorder="1" applyAlignment="1">
      <alignment horizontal="center"/>
    </xf>
    <xf numFmtId="0" fontId="4" fillId="10" borderId="84" xfId="0" applyFont="1" applyFill="1" applyBorder="1" applyAlignment="1">
      <alignment horizontal="center" vertical="center"/>
    </xf>
    <xf numFmtId="0" fontId="4" fillId="10" borderId="85" xfId="0" applyFont="1" applyFill="1" applyBorder="1" applyAlignment="1">
      <alignment horizontal="center" vertical="center"/>
    </xf>
    <xf numFmtId="0" fontId="4" fillId="10" borderId="86" xfId="0" applyFont="1" applyFill="1" applyBorder="1" applyAlignment="1">
      <alignment horizontal="center" vertical="center"/>
    </xf>
    <xf numFmtId="0" fontId="4" fillId="10" borderId="87" xfId="0" applyFont="1" applyFill="1" applyBorder="1" applyAlignment="1">
      <alignment horizontal="center" vertical="center"/>
    </xf>
    <xf numFmtId="0" fontId="4" fillId="10" borderId="83" xfId="0" applyFont="1" applyFill="1" applyBorder="1" applyAlignment="1">
      <alignment horizontal="center" vertical="center"/>
    </xf>
    <xf numFmtId="0" fontId="4" fillId="10" borderId="88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8" fillId="0" borderId="94" xfId="0" applyFont="1" applyBorder="1" applyAlignment="1">
      <alignment horizontal="center"/>
    </xf>
    <xf numFmtId="0" fontId="8" fillId="0" borderId="96" xfId="0" applyFont="1" applyBorder="1" applyAlignment="1">
      <alignment horizontal="center"/>
    </xf>
    <xf numFmtId="0" fontId="0" fillId="0" borderId="7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81" xfId="0" applyBorder="1" applyAlignment="1">
      <alignment horizontal="left" vertical="top" wrapText="1"/>
    </xf>
    <xf numFmtId="0" fontId="0" fillId="0" borderId="82" xfId="0" applyBorder="1" applyAlignment="1">
      <alignment horizontal="left" vertical="top" wrapText="1"/>
    </xf>
    <xf numFmtId="0" fontId="0" fillId="0" borderId="83" xfId="0" applyBorder="1" applyAlignment="1">
      <alignment horizontal="left" vertical="top" wrapText="1"/>
    </xf>
    <xf numFmtId="0" fontId="22" fillId="0" borderId="7" xfId="0" applyFont="1" applyBorder="1" applyAlignment="1">
      <alignment horizontal="center" wrapText="1"/>
    </xf>
    <xf numFmtId="0" fontId="22" fillId="0" borderId="80" xfId="0" applyFont="1" applyBorder="1" applyAlignment="1">
      <alignment horizontal="center" wrapText="1"/>
    </xf>
    <xf numFmtId="0" fontId="10" fillId="0" borderId="30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0" fillId="0" borderId="42" xfId="0" applyFont="1" applyBorder="1" applyAlignment="1">
      <alignment horizontal="left" vertical="top" wrapText="1"/>
    </xf>
    <xf numFmtId="0" fontId="10" fillId="0" borderId="43" xfId="0" applyFont="1" applyBorder="1" applyAlignment="1">
      <alignment horizontal="left" vertical="top" wrapText="1"/>
    </xf>
    <xf numFmtId="0" fontId="0" fillId="0" borderId="41" xfId="0" applyBorder="1" applyAlignment="1">
      <alignment horizontal="left" wrapText="1" indent="1"/>
    </xf>
    <xf numFmtId="0" fontId="0" fillId="0" borderId="42" xfId="0" applyBorder="1" applyAlignment="1">
      <alignment horizontal="left" indent="1"/>
    </xf>
    <xf numFmtId="0" fontId="25" fillId="0" borderId="71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0" fontId="0" fillId="0" borderId="7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72" xfId="0" applyBorder="1" applyAlignment="1">
      <alignment horizontal="center"/>
    </xf>
    <xf numFmtId="0" fontId="20" fillId="0" borderId="30" xfId="0" applyFont="1" applyBorder="1" applyAlignment="1">
      <alignment horizontal="left" vertical="top" wrapText="1"/>
    </xf>
    <xf numFmtId="0" fontId="20" fillId="0" borderId="31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37" xfId="0" applyFont="1" applyBorder="1" applyAlignment="1">
      <alignment horizontal="left" vertical="top" wrapText="1"/>
    </xf>
    <xf numFmtId="0" fontId="4" fillId="9" borderId="0" xfId="0" applyFont="1" applyFill="1" applyAlignment="1">
      <alignment horizontal="center"/>
    </xf>
    <xf numFmtId="0" fontId="8" fillId="0" borderId="7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7" xfId="0" applyFont="1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4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top" wrapText="1"/>
    </xf>
    <xf numFmtId="0" fontId="7" fillId="0" borderId="59" xfId="0" applyFont="1" applyBorder="1" applyAlignment="1">
      <alignment horizontal="left" vertical="top"/>
    </xf>
    <xf numFmtId="0" fontId="7" fillId="0" borderId="60" xfId="0" applyFont="1" applyBorder="1" applyAlignment="1">
      <alignment horizontal="left" vertical="top"/>
    </xf>
    <xf numFmtId="0" fontId="7" fillId="0" borderId="6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3" xfId="0" applyFont="1" applyBorder="1" applyAlignment="1">
      <alignment horizontal="left" vertical="top"/>
    </xf>
    <xf numFmtId="0" fontId="7" fillId="0" borderId="66" xfId="0" applyFont="1" applyBorder="1" applyAlignment="1">
      <alignment horizontal="left" vertical="top"/>
    </xf>
    <xf numFmtId="0" fontId="7" fillId="0" borderId="67" xfId="0" applyFont="1" applyBorder="1" applyAlignment="1">
      <alignment horizontal="left" vertical="top"/>
    </xf>
    <xf numFmtId="0" fontId="7" fillId="0" borderId="68" xfId="0" applyFont="1" applyBorder="1" applyAlignment="1">
      <alignment horizontal="left" vertical="top"/>
    </xf>
    <xf numFmtId="0" fontId="8" fillId="0" borderId="7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0" borderId="49" xfId="0" applyFont="1" applyBorder="1" applyAlignment="1">
      <alignment horizontal="left" vertical="top" wrapText="1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5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8" xfId="0" applyFont="1" applyBorder="1" applyAlignment="1">
      <alignment horizontal="left" vertical="top"/>
    </xf>
    <xf numFmtId="0" fontId="10" fillId="0" borderId="55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0" fillId="0" borderId="44" xfId="0" applyFont="1" applyBorder="1" applyAlignment="1">
      <alignment horizontal="left" vertical="top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10" fillId="0" borderId="18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0" borderId="30" xfId="0" applyFont="1" applyBorder="1" applyAlignment="1">
      <alignment horizontal="center" vertical="top"/>
    </xf>
    <xf numFmtId="0" fontId="4" fillId="0" borderId="3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37" xfId="0" applyFont="1" applyBorder="1" applyAlignment="1">
      <alignment horizontal="center" vertical="top"/>
    </xf>
    <xf numFmtId="0" fontId="17" fillId="0" borderId="32" xfId="0" applyFont="1" applyBorder="1" applyAlignment="1">
      <alignment horizontal="left" vertical="top" wrapText="1"/>
    </xf>
    <xf numFmtId="0" fontId="17" fillId="0" borderId="33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38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3" borderId="3" xfId="0" applyFont="1" applyFill="1" applyBorder="1" applyAlignment="1">
      <alignment horizontal="right" vertical="center"/>
    </xf>
    <xf numFmtId="0" fontId="0" fillId="0" borderId="4" xfId="0" applyBorder="1" applyAlignment="1">
      <alignment vertical="center"/>
    </xf>
    <xf numFmtId="15" fontId="6" fillId="3" borderId="4" xfId="0" applyNumberFormat="1" applyFont="1" applyFill="1" applyBorder="1" applyAlignment="1">
      <alignment horizontal="left" vertical="center"/>
    </xf>
    <xf numFmtId="15" fontId="6" fillId="3" borderId="5" xfId="0" applyNumberFormat="1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right" vertical="center" wrapText="1"/>
    </xf>
    <xf numFmtId="0" fontId="7" fillId="4" borderId="11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41" fillId="0" borderId="134" xfId="0" applyFont="1" applyBorder="1" applyAlignment="1">
      <alignment horizontal="center"/>
    </xf>
    <xf numFmtId="0" fontId="13" fillId="22" borderId="13" xfId="0" applyFont="1" applyFill="1" applyBorder="1" applyAlignment="1">
      <alignment horizontal="center" vertical="center" wrapText="1"/>
    </xf>
    <xf numFmtId="0" fontId="13" fillId="22" borderId="15" xfId="0" applyFont="1" applyFill="1" applyBorder="1" applyAlignment="1">
      <alignment horizontal="center" vertical="center" wrapText="1"/>
    </xf>
    <xf numFmtId="0" fontId="13" fillId="22" borderId="16" xfId="0" applyFont="1" applyFill="1" applyBorder="1" applyAlignment="1">
      <alignment horizontal="center" vertical="center" wrapText="1"/>
    </xf>
    <xf numFmtId="0" fontId="13" fillId="22" borderId="18" xfId="0" applyFont="1" applyFill="1" applyBorder="1" applyAlignment="1">
      <alignment horizontal="center" vertical="center" wrapText="1"/>
    </xf>
    <xf numFmtId="0" fontId="13" fillId="22" borderId="19" xfId="0" applyFont="1" applyFill="1" applyBorder="1" applyAlignment="1">
      <alignment horizontal="center" vertical="center" wrapText="1"/>
    </xf>
    <xf numFmtId="0" fontId="13" fillId="22" borderId="2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7" fillId="20" borderId="108" xfId="0" applyFont="1" applyFill="1" applyBorder="1" applyAlignment="1">
      <alignment horizontal="center" wrapText="1"/>
    </xf>
    <xf numFmtId="0" fontId="7" fillId="20" borderId="110" xfId="0" applyFont="1" applyFill="1" applyBorder="1" applyAlignment="1">
      <alignment horizontal="center" wrapText="1"/>
    </xf>
    <xf numFmtId="0" fontId="7" fillId="20" borderId="109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/>
    </xf>
    <xf numFmtId="0" fontId="7" fillId="20" borderId="108" xfId="0" applyFont="1" applyFill="1" applyBorder="1" applyAlignment="1">
      <alignment horizontal="center"/>
    </xf>
    <xf numFmtId="0" fontId="7" fillId="20" borderId="110" xfId="0" applyFont="1" applyFill="1" applyBorder="1" applyAlignment="1">
      <alignment horizontal="center"/>
    </xf>
    <xf numFmtId="0" fontId="7" fillId="20" borderId="109" xfId="0" applyFont="1" applyFill="1" applyBorder="1" applyAlignment="1">
      <alignment horizontal="center"/>
    </xf>
    <xf numFmtId="0" fontId="35" fillId="3" borderId="108" xfId="0" applyFont="1" applyFill="1" applyBorder="1" applyAlignment="1">
      <alignment horizontal="center"/>
    </xf>
    <xf numFmtId="0" fontId="35" fillId="3" borderId="110" xfId="0" applyFont="1" applyFill="1" applyBorder="1" applyAlignment="1">
      <alignment horizontal="center"/>
    </xf>
    <xf numFmtId="0" fontId="35" fillId="3" borderId="109" xfId="0" applyFont="1" applyFill="1" applyBorder="1" applyAlignment="1">
      <alignment horizontal="center"/>
    </xf>
    <xf numFmtId="0" fontId="36" fillId="3" borderId="120" xfId="0" applyFont="1" applyFill="1" applyBorder="1" applyAlignment="1">
      <alignment horizontal="center" vertical="center" wrapText="1"/>
    </xf>
    <xf numFmtId="0" fontId="36" fillId="3" borderId="124" xfId="0" applyFont="1" applyFill="1" applyBorder="1" applyAlignment="1">
      <alignment horizontal="center" vertical="center" wrapText="1"/>
    </xf>
    <xf numFmtId="0" fontId="31" fillId="3" borderId="108" xfId="0" applyFont="1" applyFill="1" applyBorder="1" applyAlignment="1">
      <alignment horizontal="center"/>
    </xf>
    <xf numFmtId="0" fontId="31" fillId="3" borderId="110" xfId="0" applyFont="1" applyFill="1" applyBorder="1" applyAlignment="1">
      <alignment horizontal="center"/>
    </xf>
    <xf numFmtId="0" fontId="31" fillId="3" borderId="109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22" fillId="3" borderId="19" xfId="0" applyFont="1" applyFill="1" applyBorder="1" applyAlignment="1">
      <alignment horizontal="left" wrapText="1"/>
    </xf>
    <xf numFmtId="0" fontId="22" fillId="3" borderId="20" xfId="0" applyFont="1" applyFill="1" applyBorder="1" applyAlignment="1">
      <alignment horizontal="left" wrapText="1"/>
    </xf>
    <xf numFmtId="0" fontId="22" fillId="3" borderId="22" xfId="0" applyFont="1" applyFill="1" applyBorder="1" applyAlignment="1">
      <alignment horizontal="left" wrapText="1"/>
    </xf>
    <xf numFmtId="0" fontId="13" fillId="17" borderId="13" xfId="0" applyFont="1" applyFill="1" applyBorder="1" applyAlignment="1">
      <alignment horizontal="center"/>
    </xf>
    <xf numFmtId="0" fontId="13" fillId="17" borderId="2" xfId="0" applyFont="1" applyFill="1" applyBorder="1" applyAlignment="1">
      <alignment horizontal="center"/>
    </xf>
    <xf numFmtId="0" fontId="13" fillId="17" borderId="15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31" fillId="16" borderId="12" xfId="0" applyFont="1" applyFill="1" applyBorder="1" applyAlignment="1">
      <alignment horizontal="center" vertical="center" wrapText="1"/>
    </xf>
    <xf numFmtId="165" fontId="7" fillId="0" borderId="122" xfId="0" applyNumberFormat="1" applyFont="1" applyBorder="1" applyAlignment="1">
      <alignment horizontal="left" indent="1"/>
    </xf>
    <xf numFmtId="165" fontId="7" fillId="0" borderId="110" xfId="0" applyNumberFormat="1" applyFont="1" applyBorder="1" applyAlignment="1">
      <alignment horizontal="left" indent="1"/>
    </xf>
    <xf numFmtId="165" fontId="7" fillId="0" borderId="109" xfId="0" applyNumberFormat="1" applyFont="1" applyBorder="1" applyAlignment="1">
      <alignment horizontal="left" indent="1"/>
    </xf>
    <xf numFmtId="0" fontId="2" fillId="15" borderId="12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32" xfId="0" applyFont="1" applyBorder="1" applyAlignment="1">
      <alignment horizontal="left" vertical="center" wrapText="1"/>
    </xf>
    <xf numFmtId="0" fontId="10" fillId="0" borderId="133" xfId="0" applyFont="1" applyBorder="1" applyAlignment="1">
      <alignment horizontal="left" vertical="center" wrapText="1"/>
    </xf>
    <xf numFmtId="0" fontId="10" fillId="0" borderId="134" xfId="0" applyFont="1" applyBorder="1" applyAlignment="1">
      <alignment horizontal="left" vertical="center" wrapText="1"/>
    </xf>
    <xf numFmtId="0" fontId="10" fillId="0" borderId="135" xfId="0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17" fontId="29" fillId="3" borderId="116" xfId="0" applyNumberFormat="1" applyFont="1" applyFill="1" applyBorder="1" applyAlignment="1">
      <alignment horizontal="center" vertical="center"/>
    </xf>
    <xf numFmtId="17" fontId="29" fillId="3" borderId="117" xfId="0" applyNumberFormat="1" applyFont="1" applyFill="1" applyBorder="1" applyAlignment="1">
      <alignment horizontal="center" vertical="center"/>
    </xf>
    <xf numFmtId="17" fontId="29" fillId="3" borderId="118" xfId="0" applyNumberFormat="1" applyFont="1" applyFill="1" applyBorder="1" applyAlignment="1">
      <alignment horizontal="center" vertical="center"/>
    </xf>
    <xf numFmtId="0" fontId="29" fillId="0" borderId="119" xfId="0" applyFont="1" applyBorder="1" applyAlignment="1">
      <alignment horizontal="left" vertical="center" wrapText="1"/>
    </xf>
    <xf numFmtId="0" fontId="29" fillId="0" borderId="123" xfId="0" applyFont="1" applyBorder="1" applyAlignment="1">
      <alignment horizontal="left" vertical="center" wrapText="1"/>
    </xf>
    <xf numFmtId="0" fontId="30" fillId="0" borderId="120" xfId="0" applyFont="1" applyBorder="1" applyAlignment="1">
      <alignment horizontal="center" vertical="center" wrapText="1"/>
    </xf>
    <xf numFmtId="0" fontId="30" fillId="0" borderId="124" xfId="0" applyFont="1" applyBorder="1" applyAlignment="1">
      <alignment horizontal="center" vertical="center" wrapText="1"/>
    </xf>
    <xf numFmtId="17" fontId="29" fillId="0" borderId="108" xfId="0" applyNumberFormat="1" applyFont="1" applyBorder="1" applyAlignment="1">
      <alignment horizontal="center" vertical="center" wrapText="1"/>
    </xf>
    <xf numFmtId="17" fontId="29" fillId="0" borderId="110" xfId="0" applyNumberFormat="1" applyFont="1" applyBorder="1" applyAlignment="1">
      <alignment horizontal="center" vertical="center" wrapText="1"/>
    </xf>
    <xf numFmtId="17" fontId="29" fillId="0" borderId="121" xfId="0" applyNumberFormat="1" applyFont="1" applyBorder="1" applyAlignment="1">
      <alignment horizontal="center" vertical="center" wrapText="1"/>
    </xf>
    <xf numFmtId="17" fontId="29" fillId="0" borderId="122" xfId="0" applyNumberFormat="1" applyFont="1" applyBorder="1" applyAlignment="1">
      <alignment horizontal="center" vertical="center" wrapText="1"/>
    </xf>
    <xf numFmtId="3" fontId="63" fillId="26" borderId="149" xfId="0" applyNumberFormat="1" applyFont="1" applyFill="1" applyBorder="1" applyAlignment="1">
      <alignment horizontal="left" vertical="center" wrapText="1"/>
    </xf>
    <xf numFmtId="0" fontId="63" fillId="26" borderId="150" xfId="0" applyFont="1" applyFill="1" applyBorder="1" applyAlignment="1">
      <alignment horizontal="left" vertical="center" wrapText="1"/>
    </xf>
    <xf numFmtId="0" fontId="65" fillId="28" borderId="148" xfId="0" applyFont="1" applyFill="1" applyBorder="1" applyAlignment="1">
      <alignment horizontal="left" vertical="center" wrapText="1"/>
    </xf>
    <xf numFmtId="0" fontId="66" fillId="26" borderId="0" xfId="0" applyFont="1" applyFill="1" applyAlignment="1">
      <alignment horizontal="left" vertical="top" wrapText="1"/>
    </xf>
    <xf numFmtId="0" fontId="63" fillId="26" borderId="0" xfId="0" applyFont="1" applyFill="1" applyAlignment="1">
      <alignment horizontal="left" vertical="top" wrapText="1"/>
    </xf>
    <xf numFmtId="0" fontId="63" fillId="26" borderId="0" xfId="0" applyFont="1" applyFill="1" applyAlignment="1">
      <alignment horizontal="left" vertical="center" wrapText="1"/>
    </xf>
    <xf numFmtId="0" fontId="63" fillId="26" borderId="148" xfId="0" applyFont="1" applyFill="1" applyBorder="1" applyAlignment="1">
      <alignment horizontal="left" vertical="center" wrapText="1"/>
    </xf>
    <xf numFmtId="0" fontId="63" fillId="26" borderId="148" xfId="0" applyFont="1" applyFill="1" applyBorder="1" applyAlignment="1">
      <alignment horizontal="left" vertical="top" wrapText="1"/>
    </xf>
    <xf numFmtId="0" fontId="63" fillId="27" borderId="0" xfId="0" applyFont="1" applyFill="1" applyAlignment="1">
      <alignment horizontal="center" vertical="top" wrapText="1"/>
    </xf>
    <xf numFmtId="0" fontId="64" fillId="26" borderId="0" xfId="0" applyFont="1" applyFill="1" applyAlignment="1">
      <alignment horizontal="center" vertical="center" wrapText="1"/>
    </xf>
    <xf numFmtId="3" fontId="63" fillId="26" borderId="148" xfId="0" applyNumberFormat="1" applyFont="1" applyFill="1" applyBorder="1" applyAlignment="1">
      <alignment horizontal="left" vertical="center" wrapText="1"/>
    </xf>
    <xf numFmtId="4" fontId="63" fillId="26" borderId="148" xfId="0" applyNumberFormat="1" applyFont="1" applyFill="1" applyBorder="1" applyAlignment="1">
      <alignment horizontal="left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01042551677034"/>
          <c:y val="3.5973288485408865E-2"/>
          <c:w val="0.82713184946277563"/>
          <c:h val="0.96402658965965549"/>
        </c:manualLayout>
      </c:layout>
      <c:barChart>
        <c:barDir val="bar"/>
        <c:grouping val="clustered"/>
        <c:varyColors val="0"/>
        <c:ser>
          <c:idx val="0"/>
          <c:order val="0"/>
          <c:tx>
            <c:v>`Cash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 Funds position'!$B$81:$B$85</c:f>
              <c:strCache>
                <c:ptCount val="5"/>
                <c:pt idx="0">
                  <c:v>ZAD</c:v>
                </c:pt>
                <c:pt idx="1">
                  <c:v>QFI</c:v>
                </c:pt>
                <c:pt idx="2">
                  <c:v>USB</c:v>
                </c:pt>
                <c:pt idx="3">
                  <c:v>ACC</c:v>
                </c:pt>
                <c:pt idx="4">
                  <c:v>GUC</c:v>
                </c:pt>
              </c:strCache>
            </c:strRef>
          </c:cat>
          <c:val>
            <c:numRef>
              <c:f>'1. Funds position'!$C$81:$C$85</c:f>
              <c:numCache>
                <c:formatCode>_(* #,##0.00_);_(* \(#,##0.00\);_(* "-"??_);_(@_)</c:formatCode>
                <c:ptCount val="5"/>
                <c:pt idx="0">
                  <c:v>5.0261024470000004</c:v>
                </c:pt>
                <c:pt idx="1">
                  <c:v>0.39374425000000002</c:v>
                </c:pt>
                <c:pt idx="2">
                  <c:v>0.40519556999999995</c:v>
                </c:pt>
                <c:pt idx="3">
                  <c:v>6.710569999999999E-2</c:v>
                </c:pt>
                <c:pt idx="4">
                  <c:v>0.8335490000000001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2F-41C1-B57F-2FF94C3A52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2320640"/>
        <c:axId val="42322176"/>
      </c:barChart>
      <c:catAx>
        <c:axId val="423206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176"/>
        <c:crosses val="autoZero"/>
        <c:auto val="1"/>
        <c:lblAlgn val="ctr"/>
        <c:lblOffset val="100"/>
        <c:noMultiLvlLbl val="0"/>
      </c:catAx>
      <c:valAx>
        <c:axId val="42322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000" b="1" i="0" u="none" strike="noStrike" kern="1200" baseline="0">
                <a:solidFill>
                  <a:sysClr val="windowText" lastClr="000000"/>
                </a:solidFill>
              </a:rPr>
              <a:t>Bank wise Fund in USD Currency</a:t>
            </a:r>
          </a:p>
          <a:p>
            <a:pPr>
              <a:defRPr/>
            </a:pPr>
            <a:r>
              <a:rPr lang="en-US" sz="1000" b="1" i="0" u="none" strike="noStrike" kern="1200" baseline="0">
                <a:solidFill>
                  <a:sysClr val="windowText" lastClr="000000"/>
                </a:solidFill>
              </a:rPr>
              <a:t>(Total USD 1.62 mn)</a:t>
            </a:r>
          </a:p>
        </c:rich>
      </c:tx>
      <c:layout>
        <c:manualLayout>
          <c:xMode val="edge"/>
          <c:yMode val="edge"/>
          <c:x val="0.18690173460089177"/>
          <c:y val="4.619430515478979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8032101124410536E-2"/>
          <c:y val="0.24011664386537451"/>
          <c:w val="0.89501990826829059"/>
          <c:h val="0.47173917939262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 Funds position'!$B$103:$B$107</c:f>
              <c:strCache>
                <c:ptCount val="5"/>
                <c:pt idx="0">
                  <c:v>Dukhan</c:v>
                </c:pt>
                <c:pt idx="1">
                  <c:v>Mashreq</c:v>
                </c:pt>
                <c:pt idx="2">
                  <c:v>UBS</c:v>
                </c:pt>
                <c:pt idx="3">
                  <c:v>HSBC</c:v>
                </c:pt>
                <c:pt idx="4">
                  <c:v>MAR</c:v>
                </c:pt>
              </c:strCache>
            </c:strRef>
          </c:tx>
          <c:invertIfNegative val="0"/>
          <c:dLbls>
            <c:spPr>
              <a:solidFill>
                <a:schemeClr val="accent3"/>
              </a:solidFill>
              <a:ln w="25400" cap="flat" cmpd="sng" algn="ctr">
                <a:solidFill>
                  <a:schemeClr val="accent3">
                    <a:shade val="50000"/>
                  </a:schemeClr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'1. Funds position'!$C$103:$C$107</c:f>
              <c:numCache>
                <c:formatCode>_(* #,##0.00_);_(* \(#,##0.00\);_(* "-"??_);_(@_)</c:formatCode>
                <c:ptCount val="5"/>
                <c:pt idx="0">
                  <c:v>0.44144756000000002</c:v>
                </c:pt>
                <c:pt idx="1">
                  <c:v>6.94278E-3</c:v>
                </c:pt>
                <c:pt idx="2">
                  <c:v>8.2699999999999996E-3</c:v>
                </c:pt>
                <c:pt idx="3">
                  <c:v>1.0460000000000001E-2</c:v>
                </c:pt>
                <c:pt idx="4">
                  <c:v>7.0800000000000002E-2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38D-46DE-86ED-20AADF0978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7159040"/>
        <c:axId val="77160832"/>
      </c:barChart>
      <c:catAx>
        <c:axId val="77159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7160832"/>
        <c:crosses val="autoZero"/>
        <c:auto val="1"/>
        <c:lblAlgn val="ctr"/>
        <c:lblOffset val="100"/>
        <c:noMultiLvlLbl val="0"/>
      </c:catAx>
      <c:valAx>
        <c:axId val="77160832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one"/>
        <c:crossAx val="771590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Mashreq Al Islami (MAI)</a:t>
            </a:r>
          </a:p>
        </c:rich>
      </c:tx>
      <c:layout>
        <c:manualLayout>
          <c:xMode val="edge"/>
          <c:yMode val="edge"/>
          <c:x val="2.5150326797385623E-2"/>
          <c:y val="7.3361268437936514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199176807444524"/>
          <c:w val="0.92762071407740765"/>
          <c:h val="0.4959359341445955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capital'!$C$32</c:f>
              <c:strCache>
                <c:ptCount val="1"/>
                <c:pt idx="0">
                  <c:v>Sanctioned 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-2.0857865961112398E-2"/>
                  <c:y val="-2.0271165411113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EA-46D6-953F-63B35C8029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capital'!$B$41:$B$44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capital'!$C$41:$C$44</c:f>
              <c:numCache>
                <c:formatCode>_(* #,##0_);_(* \(#,##0\);_(* "-"??_);_(@_)</c:formatCode>
                <c:ptCount val="4"/>
                <c:pt idx="0">
                  <c:v>200</c:v>
                </c:pt>
                <c:pt idx="1">
                  <c:v>75</c:v>
                </c:pt>
                <c:pt idx="2">
                  <c:v>10</c:v>
                </c:pt>
                <c:pt idx="3" formatCode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A-46D6-953F-63B35C802970}"/>
            </c:ext>
          </c:extLst>
        </c:ser>
        <c:ser>
          <c:idx val="1"/>
          <c:order val="1"/>
          <c:tx>
            <c:strRef>
              <c:f>'3. Working capital'!$D$32</c:f>
              <c:strCache>
                <c:ptCount val="1"/>
                <c:pt idx="0">
                  <c:v>Utilised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025320364366216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EA-46D6-953F-63B35C802970}"/>
                </c:ext>
              </c:extLst>
            </c:dLbl>
            <c:dLbl>
              <c:idx val="1"/>
              <c:layout>
                <c:manualLayout>
                  <c:x val="6.1277412656267925E-2"/>
                  <c:y val="-6.73381750323295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EA-46D6-953F-63B35C802970}"/>
                </c:ext>
              </c:extLst>
            </c:dLbl>
            <c:dLbl>
              <c:idx val="2"/>
              <c:layout>
                <c:manualLayout>
                  <c:x val="4.0377129329422064E-2"/>
                  <c:y val="1.89283357124228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EA-46D6-953F-63B35C802970}"/>
                </c:ext>
              </c:extLst>
            </c:dLbl>
            <c:dLbl>
              <c:idx val="3"/>
              <c:layout>
                <c:manualLayout>
                  <c:x val="2.6072332451390498E-2"/>
                  <c:y val="-6.193895656540207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EA-46D6-953F-63B35C8029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capital'!$B$41:$B$44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capital'!$D$41:$D$44</c:f>
              <c:numCache>
                <c:formatCode>0</c:formatCode>
                <c:ptCount val="4"/>
                <c:pt idx="0">
                  <c:v>0</c:v>
                </c:pt>
                <c:pt idx="1">
                  <c:v>70</c:v>
                </c:pt>
                <c:pt idx="2">
                  <c:v>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EA-46D6-953F-63B35C8029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0975360"/>
        <c:axId val="80976896"/>
        <c:axId val="0"/>
      </c:bar3DChart>
      <c:catAx>
        <c:axId val="80975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0976896"/>
        <c:crosses val="autoZero"/>
        <c:auto val="1"/>
        <c:lblAlgn val="ctr"/>
        <c:lblOffset val="100"/>
        <c:noMultiLvlLbl val="0"/>
      </c:catAx>
      <c:valAx>
        <c:axId val="80976896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80975360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61857989523762802"/>
          <c:y val="4.2360669828554534E-2"/>
          <c:w val="0.36383843742905586"/>
          <c:h val="0.18765391168209244"/>
        </c:manualLayout>
      </c:layout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Al Rayan</a:t>
            </a:r>
          </a:p>
        </c:rich>
      </c:tx>
      <c:layout>
        <c:manualLayout>
          <c:xMode val="edge"/>
          <c:yMode val="edge"/>
          <c:x val="1.1351699775791011E-2"/>
          <c:y val="4.2757405265507836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8800705467374338E-2"/>
          <c:y val="0.25095323311858725"/>
          <c:w val="0.92762071407740765"/>
          <c:h val="0.4381400620377116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capital'!$C$32</c:f>
              <c:strCache>
                <c:ptCount val="1"/>
                <c:pt idx="0">
                  <c:v>Sanctioned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capital'!$B$47:$B$50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capital'!$C$47:$C$50</c:f>
              <c:numCache>
                <c:formatCode>_(* #,##0_);_(* \(#,##0\);_(* "-"??_);_(@_)</c:formatCode>
                <c:ptCount val="4"/>
                <c:pt idx="0">
                  <c:v>125</c:v>
                </c:pt>
                <c:pt idx="1">
                  <c:v>125</c:v>
                </c:pt>
                <c:pt idx="2">
                  <c:v>20</c:v>
                </c:pt>
                <c:pt idx="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D-4832-91D3-5A884610843E}"/>
            </c:ext>
          </c:extLst>
        </c:ser>
        <c:ser>
          <c:idx val="1"/>
          <c:order val="1"/>
          <c:tx>
            <c:strRef>
              <c:f>'3. Working capital'!$D$32</c:f>
              <c:strCache>
                <c:ptCount val="1"/>
                <c:pt idx="0">
                  <c:v>Utilised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4109347442680775E-2"/>
                  <c:y val="-6.172768197829234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AD-4832-91D3-5A884610843E}"/>
                </c:ext>
              </c:extLst>
            </c:dLbl>
            <c:dLbl>
              <c:idx val="1"/>
              <c:layout>
                <c:manualLayout>
                  <c:x val="1.4109347442680775E-2"/>
                  <c:y val="-6.73400673400670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D-4832-91D3-5A884610843E}"/>
                </c:ext>
              </c:extLst>
            </c:dLbl>
            <c:dLbl>
              <c:idx val="2"/>
              <c:layout>
                <c:manualLayout>
                  <c:x val="2.4691358024691412E-2"/>
                  <c:y val="-2.6936026936026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AD-4832-91D3-5A884610843E}"/>
                </c:ext>
              </c:extLst>
            </c:dLbl>
            <c:dLbl>
              <c:idx val="3"/>
              <c:layout>
                <c:manualLayout>
                  <c:x val="2.6458410503697207E-2"/>
                  <c:y val="7.490641122204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AD-4832-91D3-5A88461084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capital'!$B$47:$B$50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capital'!$D$47:$D$50</c:f>
              <c:numCache>
                <c:formatCode>_(* #,##0_);_(* \(#,##0\);_(* "-"??_);_(@_)</c:formatCode>
                <c:ptCount val="4"/>
                <c:pt idx="0">
                  <c:v>15</c:v>
                </c:pt>
                <c:pt idx="1">
                  <c:v>2</c:v>
                </c:pt>
                <c:pt idx="2" formatCode="0">
                  <c:v>2</c:v>
                </c:pt>
                <c:pt idx="3" formatCode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AD-4832-91D3-5A88461084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147008"/>
        <c:axId val="81148544"/>
        <c:axId val="0"/>
      </c:bar3DChart>
      <c:catAx>
        <c:axId val="81147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1148544"/>
        <c:crosses val="autoZero"/>
        <c:auto val="1"/>
        <c:lblAlgn val="ctr"/>
        <c:lblOffset val="100"/>
        <c:noMultiLvlLbl val="0"/>
      </c:catAx>
      <c:valAx>
        <c:axId val="81148544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81147008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43949258834128857"/>
          <c:y val="5.8176449534717282E-2"/>
          <c:w val="0.53769727231860953"/>
          <c:h val="0.16426189969497051"/>
        </c:manualLayout>
      </c:layout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Dukhan Bank (DUK)</a:t>
            </a:r>
          </a:p>
        </c:rich>
      </c:tx>
      <c:layout>
        <c:manualLayout>
          <c:xMode val="edge"/>
          <c:yMode val="edge"/>
          <c:x val="2.7100612423448515E-2"/>
          <c:y val="6.4973883638779026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1837216706785861"/>
          <c:w val="0.97269944662959107"/>
          <c:h val="0.4682754143896767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capital'!$C$32</c:f>
              <c:strCache>
                <c:ptCount val="1"/>
                <c:pt idx="0">
                  <c:v>Sanctioned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capital'!$B$54:$B$57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capital'!$C$54:$C$57</c:f>
              <c:numCache>
                <c:formatCode>_(* #,##0_);_(* \(#,##0\);_(* "-"??_);_(@_)</c:formatCode>
                <c:ptCount val="4"/>
                <c:pt idx="0">
                  <c:v>250</c:v>
                </c:pt>
                <c:pt idx="1">
                  <c:v>110</c:v>
                </c:pt>
                <c:pt idx="2">
                  <c:v>50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EF2-B138-B9EC858CD1CE}"/>
            </c:ext>
          </c:extLst>
        </c:ser>
        <c:ser>
          <c:idx val="1"/>
          <c:order val="1"/>
          <c:tx>
            <c:strRef>
              <c:f>'3. Working capital'!$D$32</c:f>
              <c:strCache>
                <c:ptCount val="1"/>
                <c:pt idx="0">
                  <c:v>Utilised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5046401717665024E-2"/>
                  <c:y val="-5.1587281155659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07-4EF2-B138-B9EC858CD1CE}"/>
                </c:ext>
              </c:extLst>
            </c:dLbl>
            <c:dLbl>
              <c:idx val="1"/>
              <c:layout>
                <c:manualLayout>
                  <c:x val="2.9135593134884175E-2"/>
                  <c:y val="-3.5827600504901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07-4EF2-B138-B9EC858CD1CE}"/>
                </c:ext>
              </c:extLst>
            </c:dLbl>
            <c:dLbl>
              <c:idx val="2"/>
              <c:layout>
                <c:manualLayout>
                  <c:x val="2.9620561990373932E-2"/>
                  <c:y val="-1.2404540303171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07-4EF2-B138-B9EC858CD1CE}"/>
                </c:ext>
              </c:extLst>
            </c:dLbl>
            <c:dLbl>
              <c:idx val="3"/>
              <c:layout>
                <c:manualLayout>
                  <c:x val="6.9172759160527481E-2"/>
                  <c:y val="-7.44879830941611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07-4EF2-B138-B9EC858CD1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capital'!$B$54:$B$57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capital'!$D$54:$D$57</c:f>
              <c:numCache>
                <c:formatCode>_(* #,##0_);_(* \(#,##0\);_(* "-"??_);_(@_)</c:formatCode>
                <c:ptCount val="4"/>
                <c:pt idx="0" formatCode="0">
                  <c:v>100</c:v>
                </c:pt>
                <c:pt idx="1">
                  <c:v>10</c:v>
                </c:pt>
                <c:pt idx="2" formatCode="0">
                  <c:v>15</c:v>
                </c:pt>
                <c:pt idx="3" formatCode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07-4EF2-B138-B9EC858CD1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404672"/>
        <c:axId val="81406208"/>
        <c:axId val="0"/>
      </c:bar3DChart>
      <c:catAx>
        <c:axId val="8140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1406208"/>
        <c:crosses val="autoZero"/>
        <c:auto val="1"/>
        <c:lblAlgn val="ctr"/>
        <c:lblOffset val="100"/>
        <c:noMultiLvlLbl val="0"/>
      </c:catAx>
      <c:valAx>
        <c:axId val="81406208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81404672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42374104634278364"/>
          <c:y val="4.2797150782711924E-3"/>
          <c:w val="0.56906963100200714"/>
          <c:h val="0.16426189969497051"/>
        </c:manualLayout>
      </c:layout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UBS</a:t>
            </a:r>
          </a:p>
        </c:rich>
      </c:tx>
      <c:layout>
        <c:manualLayout>
          <c:xMode val="edge"/>
          <c:yMode val="edge"/>
          <c:x val="2.9034153066756791E-2"/>
          <c:y val="5.9636347131902974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8800705467374408E-2"/>
          <c:y val="0.17489840260034412"/>
          <c:w val="0.92762071407740765"/>
          <c:h val="0.4947815960091083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capital'!$C$32</c:f>
              <c:strCache>
                <c:ptCount val="1"/>
                <c:pt idx="0">
                  <c:v>Sanctioned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capital'!$B$60:$B$63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capital'!$C$60:$C$63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 formatCode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3-4533-AB6A-F19AF47814FE}"/>
            </c:ext>
          </c:extLst>
        </c:ser>
        <c:ser>
          <c:idx val="1"/>
          <c:order val="1"/>
          <c:tx>
            <c:strRef>
              <c:f>'3. Working capital'!$D$32</c:f>
              <c:strCache>
                <c:ptCount val="1"/>
                <c:pt idx="0">
                  <c:v>Utilised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5273368606704242E-2"/>
                  <c:y val="-7.2072072072072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13-4533-AB6A-F19AF47814FE}"/>
                </c:ext>
              </c:extLst>
            </c:dLbl>
            <c:dLbl>
              <c:idx val="1"/>
              <c:layout>
                <c:manualLayout>
                  <c:x val="2.4691358024691412E-2"/>
                  <c:y val="-6.7339150173795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13-4533-AB6A-F19AF47814FE}"/>
                </c:ext>
              </c:extLst>
            </c:dLbl>
            <c:dLbl>
              <c:idx val="2"/>
              <c:layout>
                <c:manualLayout>
                  <c:x val="3.5273368606704242E-2"/>
                  <c:y val="-2.693622756614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13-4533-AB6A-F19AF47814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capital'!$B$60:$B$63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capital'!$D$60:$D$63</c:f>
              <c:numCache>
                <c:formatCode>_(* #,##0_);_(* \(#,##0\);_(* "-"??_);_(@_)</c:formatCode>
                <c:ptCount val="4"/>
                <c:pt idx="0" formatCode="_(* #,##0.00_);_(* \(#,##0.00\);_(* &quot;-&quot;??_);_(@_)">
                  <c:v>0</c:v>
                </c:pt>
                <c:pt idx="1">
                  <c:v>15</c:v>
                </c:pt>
                <c:pt idx="2" formatCode="_(* #,##0.00_);_(* \(#,##0.00\);_(* &quot;-&quot;??_);_(@_)">
                  <c:v>0</c:v>
                </c:pt>
                <c:pt idx="3" formatCode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13-4533-AB6A-F19AF47814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441152"/>
        <c:axId val="81442688"/>
        <c:axId val="0"/>
      </c:bar3DChart>
      <c:catAx>
        <c:axId val="8144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1442688"/>
        <c:crosses val="autoZero"/>
        <c:auto val="1"/>
        <c:lblAlgn val="ctr"/>
        <c:lblOffset val="100"/>
        <c:noMultiLvlLbl val="0"/>
      </c:catAx>
      <c:valAx>
        <c:axId val="81442688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81441152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16608238317771853"/>
          <c:y val="5.7802633605421226E-2"/>
          <c:w val="0.63349081038921884"/>
          <c:h val="0.112042505754380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7684736813592094E-2"/>
          <c:y val="0.15617201339841724"/>
          <c:w val="0.94385964912280762"/>
          <c:h val="0.704699761438203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'2. Cash flow'!$C$8</c:f>
              <c:strCache>
                <c:ptCount val="1"/>
                <c:pt idx="0">
                  <c:v>Cash Inflow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209-409D-9E02-151CA9A7F089}"/>
              </c:ext>
            </c:extLst>
          </c:dPt>
          <c:dLbls>
            <c:dLbl>
              <c:idx val="0"/>
              <c:layout>
                <c:manualLayout>
                  <c:x val="-2.9742102404946919E-2"/>
                  <c:y val="-7.111349865469307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09-409D-9E02-151CA9A7F089}"/>
                </c:ext>
              </c:extLst>
            </c:dLbl>
            <c:spPr>
              <a:solidFill>
                <a:schemeClr val="lt1"/>
              </a:solidFill>
              <a:ln w="25400" cap="flat" cmpd="sng" algn="ctr">
                <a:solidFill>
                  <a:schemeClr val="accent3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Cash flow'!$B$9:$B$12</c:f>
              <c:strCache>
                <c:ptCount val="4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Total</c:v>
                </c:pt>
              </c:strCache>
            </c:strRef>
          </c:cat>
          <c:val>
            <c:numRef>
              <c:f>'2. Cash flow'!$C$9:$C$12</c:f>
              <c:numCache>
                <c:formatCode>_(* #,##0_);_(* \(#,##0\);_(* "-"??_);_(@_)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09-409D-9E02-151CA9A7F089}"/>
            </c:ext>
          </c:extLst>
        </c:ser>
        <c:ser>
          <c:idx val="1"/>
          <c:order val="1"/>
          <c:tx>
            <c:strRef>
              <c:f>'2. Cash flow'!$D$8</c:f>
              <c:strCache>
                <c:ptCount val="1"/>
                <c:pt idx="0">
                  <c:v> Cash Outflow </c:v>
                </c:pt>
              </c:strCache>
            </c:strRef>
          </c:tx>
          <c:spPr>
            <a:solidFill>
              <a:srgbClr val="FF0000">
                <a:alpha val="78000"/>
              </a:srgbClr>
            </a:solidFill>
          </c:spPr>
          <c:invertIfNegative val="0"/>
          <c:dLbls>
            <c:dLbl>
              <c:idx val="1"/>
              <c:layout>
                <c:manualLayout>
                  <c:x val="1.05263157894736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09-409D-9E02-151CA9A7F089}"/>
                </c:ext>
              </c:extLst>
            </c:dLbl>
            <c:dLbl>
              <c:idx val="2"/>
              <c:layout>
                <c:manualLayout>
                  <c:x val="1.05263157894736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09-409D-9E02-151CA9A7F089}"/>
                </c:ext>
              </c:extLst>
            </c:dLbl>
            <c:dLbl>
              <c:idx val="3"/>
              <c:layout>
                <c:manualLayout>
                  <c:x val="7.0175438596491333E-3"/>
                  <c:y val="-5.071402917718526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09-409D-9E02-151CA9A7F089}"/>
                </c:ext>
              </c:extLst>
            </c:dLbl>
            <c:dLbl>
              <c:idx val="4"/>
              <c:layout>
                <c:manualLayout>
                  <c:x val="1.05263157894736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09-409D-9E02-151CA9A7F089}"/>
                </c:ext>
              </c:extLst>
            </c:dLbl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Cash flow'!$B$9:$B$12</c:f>
              <c:strCache>
                <c:ptCount val="4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Total</c:v>
                </c:pt>
              </c:strCache>
            </c:strRef>
          </c:cat>
          <c:val>
            <c:numRef>
              <c:f>'2. Cash flow'!$D$9:$D$12</c:f>
              <c:numCache>
                <c:formatCode>_(* #,##0_);_(* \(#,##0\);_(* "-"??_);_(@_)</c:formatCode>
                <c:ptCount val="4"/>
                <c:pt idx="0">
                  <c:v>90</c:v>
                </c:pt>
                <c:pt idx="1">
                  <c:v>120</c:v>
                </c:pt>
                <c:pt idx="2">
                  <c:v>145</c:v>
                </c:pt>
                <c:pt idx="3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09-409D-9E02-151CA9A7F0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3250560"/>
        <c:axId val="83256448"/>
        <c:axId val="0"/>
      </c:bar3DChart>
      <c:catAx>
        <c:axId val="83250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3256448"/>
        <c:crosses val="autoZero"/>
        <c:auto val="1"/>
        <c:lblAlgn val="ctr"/>
        <c:lblOffset val="100"/>
        <c:noMultiLvlLbl val="0"/>
      </c:catAx>
      <c:valAx>
        <c:axId val="83256448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832505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060304609460625"/>
          <c:y val="2.1156503105926434E-2"/>
          <c:w val="0.50855183924188307"/>
          <c:h val="7.1062048905770142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0555555555555582E-2"/>
          <c:y val="0.33294890818139589"/>
          <c:w val="0.93888888888889643"/>
          <c:h val="0.52338566271794529"/>
        </c:manualLayout>
      </c:layout>
      <c:bar3DChart>
        <c:barDir val="col"/>
        <c:grouping val="clustered"/>
        <c:varyColors val="0"/>
        <c:ser>
          <c:idx val="0"/>
          <c:order val="0"/>
          <c:tx>
            <c:v>Pur Value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Egypt</c:v>
              </c:pt>
              <c:pt idx="1">
                <c:v>Indonesia</c:v>
              </c:pt>
              <c:pt idx="2">
                <c:v>Qatar</c:v>
              </c:pt>
              <c:pt idx="3">
                <c:v>Total</c:v>
              </c:pt>
            </c:strLit>
          </c:cat>
          <c:val>
            <c:numLit>
              <c:formatCode>_(* #,##0.00_);_(* \(#,##0.00\);_(* "-"??_);_(@_)</c:formatCode>
              <c:ptCount val="4"/>
              <c:pt idx="0">
                <c:v>50.234585230000008</c:v>
              </c:pt>
              <c:pt idx="1">
                <c:v>2.6348420799999999</c:v>
              </c:pt>
              <c:pt idx="2">
                <c:v>3.07481596</c:v>
              </c:pt>
              <c:pt idx="3">
                <c:v>55.944243270000008</c:v>
              </c:pt>
            </c:numLit>
          </c:val>
          <c:extLst>
            <c:ext xmlns:c16="http://schemas.microsoft.com/office/drawing/2014/chart" uri="{C3380CC4-5D6E-409C-BE32-E72D297353CC}">
              <c16:uniqueId val="{00000000-EEF1-449A-8399-EDB1DA11D9D4}"/>
            </c:ext>
          </c:extLst>
        </c:ser>
        <c:ser>
          <c:idx val="1"/>
          <c:order val="1"/>
          <c:tx>
            <c:v>Mkt Value</c:v>
          </c:tx>
          <c:invertIfNegative val="0"/>
          <c:dLbls>
            <c:dLbl>
              <c:idx val="0"/>
              <c:layout>
                <c:manualLayout>
                  <c:x val="1.6666489329287885E-2"/>
                  <c:y val="-5.1518776469061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F1-449A-8399-EDB1DA11D9D4}"/>
                </c:ext>
              </c:extLst>
            </c:dLbl>
            <c:dLbl>
              <c:idx val="1"/>
              <c:layout>
                <c:manualLayout>
                  <c:x val="2.9538039351486928E-2"/>
                  <c:y val="-2.2897033662245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F1-449A-8399-EDB1DA11D9D4}"/>
                </c:ext>
              </c:extLst>
            </c:dLbl>
            <c:dLbl>
              <c:idx val="2"/>
              <c:layout>
                <c:manualLayout>
                  <c:x val="2.5000000000000001E-2"/>
                  <c:y val="-5.7347683198754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F1-449A-8399-EDB1DA11D9D4}"/>
                </c:ext>
              </c:extLst>
            </c:dLbl>
            <c:dLbl>
              <c:idx val="3"/>
              <c:layout>
                <c:manualLayout>
                  <c:x val="2.5000000000000001E-2"/>
                  <c:y val="-5.73476831987544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F1-449A-8399-EDB1DA11D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Egypt</c:v>
              </c:pt>
              <c:pt idx="1">
                <c:v>Indonesia</c:v>
              </c:pt>
              <c:pt idx="2">
                <c:v>Qatar</c:v>
              </c:pt>
              <c:pt idx="3">
                <c:v>Total</c:v>
              </c:pt>
            </c:strLit>
          </c:cat>
          <c:val>
            <c:numLit>
              <c:formatCode>_(* #,##0.00_);_(* \(#,##0.00\);_(* "-"??_);_(@_)</c:formatCode>
              <c:ptCount val="4"/>
              <c:pt idx="0">
                <c:v>45.705370124761998</c:v>
              </c:pt>
              <c:pt idx="1">
                <c:v>2.1472339479499998</c:v>
              </c:pt>
              <c:pt idx="2">
                <c:v>7.4784146000000007</c:v>
              </c:pt>
              <c:pt idx="3">
                <c:v>55.331018672711998</c:v>
              </c:pt>
            </c:numLit>
          </c:val>
          <c:extLst>
            <c:ext xmlns:c16="http://schemas.microsoft.com/office/drawing/2014/chart" uri="{C3380CC4-5D6E-409C-BE32-E72D297353CC}">
              <c16:uniqueId val="{00000005-EEF1-449A-8399-EDB1DA11D9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shape val="cylinder"/>
        <c:axId val="83616512"/>
        <c:axId val="83618048"/>
        <c:axId val="0"/>
      </c:bar3DChart>
      <c:catAx>
        <c:axId val="83616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3618048"/>
        <c:crosses val="autoZero"/>
        <c:auto val="1"/>
        <c:lblAlgn val="ctr"/>
        <c:lblOffset val="100"/>
        <c:noMultiLvlLbl val="0"/>
      </c:catAx>
      <c:valAx>
        <c:axId val="83618048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one"/>
        <c:crossAx val="8361651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2281964498347093"/>
          <c:y val="0.19035715891652072"/>
          <c:w val="0.37892999784294168"/>
          <c:h val="8.82618465912722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6418902331387839E-2"/>
          <c:y val="9.7516145170612231E-2"/>
          <c:w val="0.9365445774343526"/>
          <c:h val="0.760434392106791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'5. Debt &amp; Equity'!$C$10</c:f>
              <c:strCache>
                <c:ptCount val="1"/>
                <c:pt idx="0">
                  <c:v>Outstanding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1-B34F-4D31-A64D-6EA09683BAE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B34F-4D31-A64D-6EA09683B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B34F-4D31-A64D-6EA09683BAEA}"/>
              </c:ext>
            </c:extLst>
          </c:dPt>
          <c:dLbls>
            <c:dLbl>
              <c:idx val="0"/>
              <c:layout>
                <c:manualLayout>
                  <c:x val="-1.9611601444027248E-2"/>
                  <c:y val="-4.45142970711392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4F-4D31-A64D-6EA09683BAEA}"/>
                </c:ext>
              </c:extLst>
            </c:dLbl>
            <c:dLbl>
              <c:idx val="1"/>
              <c:layout>
                <c:manualLayout>
                  <c:x val="8.168641934334411E-3"/>
                  <c:y val="0.175056112146183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61439550548886E-2"/>
                      <c:h val="0.110110294539949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34F-4D31-A64D-6EA09683BAEA}"/>
                </c:ext>
              </c:extLst>
            </c:dLbl>
            <c:dLbl>
              <c:idx val="2"/>
              <c:layout>
                <c:manualLayout>
                  <c:x val="-8.2119201301320919E-3"/>
                  <c:y val="0.220492659001660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4F-4D31-A64D-6EA09683BAEA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</c:spPr>
            <c:txPr>
              <a:bodyPr/>
              <a:lstStyle/>
              <a:p>
                <a:pPr>
                  <a:defRPr sz="1300" b="1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 Debt &amp; Equity'!$B$11:$B$15</c15:sqref>
                  </c15:fullRef>
                </c:ext>
              </c:extLst>
              <c:f>('5. Debt &amp; Equity'!$B$11:$B$12,'5. Debt &amp; Equity'!$B$14:$B$15)</c:f>
              <c:strCache>
                <c:ptCount val="4"/>
                <c:pt idx="0">
                  <c:v>Short term 
loan</c:v>
                </c:pt>
                <c:pt idx="1">
                  <c:v>Long term 
loan </c:v>
                </c:pt>
                <c:pt idx="2">
                  <c:v>Liquidity
Reserve</c:v>
                </c:pt>
                <c:pt idx="3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 Debt &amp; Equity'!$C$11:$C$15</c15:sqref>
                  </c15:fullRef>
                </c:ext>
              </c:extLst>
              <c:f>('5. Debt &amp; Equity'!$C$11:$C$12,'5. Debt &amp; Equity'!$C$14:$C$15)</c:f>
              <c:numCache>
                <c:formatCode>0</c:formatCode>
                <c:ptCount val="4"/>
                <c:pt idx="0">
                  <c:v>125</c:v>
                </c:pt>
                <c:pt idx="1">
                  <c:v>494</c:v>
                </c:pt>
                <c:pt idx="2" formatCode="_(* #,##0_);_(* \(#,##0\);_(* &quot;-&quot;??_);_(@_)">
                  <c:v>0</c:v>
                </c:pt>
                <c:pt idx="3" formatCode="_(* #,##0_);_(* \(#,##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4F-4D31-A64D-6EA09683BA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83385728"/>
        <c:axId val="83395712"/>
        <c:axId val="0"/>
      </c:bar3DChart>
      <c:catAx>
        <c:axId val="83385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3395712"/>
        <c:crosses val="autoZero"/>
        <c:auto val="1"/>
        <c:lblAlgn val="ctr"/>
        <c:lblOffset val="100"/>
        <c:noMultiLvlLbl val="0"/>
      </c:catAx>
      <c:valAx>
        <c:axId val="8339571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83385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Qatar</a:t>
            </a:r>
          </a:p>
        </c:rich>
      </c:tx>
      <c:layout>
        <c:manualLayout>
          <c:xMode val="edge"/>
          <c:yMode val="edge"/>
          <c:x val="2.7100612423448515E-2"/>
          <c:y val="6.4973883638779026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8800705467374359E-2"/>
          <c:y val="0.21837216706785861"/>
          <c:w val="0.94731890984316924"/>
          <c:h val="0.492302559969528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capital'!$C$84</c:f>
              <c:strCache>
                <c:ptCount val="1"/>
                <c:pt idx="0">
                  <c:v>Sanctioned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capital'!$B$85:$B$88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</c:v>
                </c:pt>
                <c:pt idx="3">
                  <c:v>Total</c:v>
                </c:pt>
              </c:strCache>
            </c:strRef>
          </c:cat>
          <c:val>
            <c:numRef>
              <c:f>'3. Working capital'!$C$85:$C$88</c:f>
              <c:numCache>
                <c:formatCode>_(* #,##0_);_(* \(#,##0\);_(* "-"??_);_(@_)</c:formatCode>
                <c:ptCount val="4"/>
                <c:pt idx="0">
                  <c:v>425</c:v>
                </c:pt>
                <c:pt idx="1">
                  <c:v>275</c:v>
                </c:pt>
                <c:pt idx="2">
                  <c:v>80</c:v>
                </c:pt>
                <c:pt idx="3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9-43B2-96B0-3322E18A2AD1}"/>
            </c:ext>
          </c:extLst>
        </c:ser>
        <c:ser>
          <c:idx val="1"/>
          <c:order val="1"/>
          <c:tx>
            <c:strRef>
              <c:f>'3. Working capital'!$D$84</c:f>
              <c:strCache>
                <c:ptCount val="1"/>
                <c:pt idx="0">
                  <c:v>Utilised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dLbl>
              <c:idx val="0"/>
              <c:layout>
                <c:manualLayout>
                  <c:x val="4.0117137503455774E-2"/>
                  <c:y val="-7.99467693006924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39-43B2-96B0-3322E18A2AD1}"/>
                </c:ext>
              </c:extLst>
            </c:dLbl>
            <c:dLbl>
              <c:idx val="1"/>
              <c:layout>
                <c:manualLayout>
                  <c:x val="1.4109347442680775E-2"/>
                  <c:y val="-6.73400673400670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39-43B2-96B0-3322E18A2AD1}"/>
                </c:ext>
              </c:extLst>
            </c:dLbl>
            <c:dLbl>
              <c:idx val="2"/>
              <c:layout>
                <c:manualLayout>
                  <c:x val="2.9615785055227051E-2"/>
                  <c:y val="2.912679523901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39-43B2-96B0-3322E18A2AD1}"/>
                </c:ext>
              </c:extLst>
            </c:dLbl>
            <c:dLbl>
              <c:idx val="3"/>
              <c:layout>
                <c:manualLayout>
                  <c:x val="6.5035654389266451E-2"/>
                  <c:y val="8.00896499577795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39-43B2-96B0-3322E18A2A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capital'!$B$85:$B$88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</c:v>
                </c:pt>
                <c:pt idx="3">
                  <c:v>Total</c:v>
                </c:pt>
              </c:strCache>
            </c:strRef>
          </c:cat>
          <c:val>
            <c:numRef>
              <c:f>'3. Working capital'!$D$85:$D$88</c:f>
              <c:numCache>
                <c:formatCode>0</c:formatCode>
                <c:ptCount val="4"/>
                <c:pt idx="0">
                  <c:v>115.00004336500001</c:v>
                </c:pt>
                <c:pt idx="1">
                  <c:v>12</c:v>
                </c:pt>
                <c:pt idx="2">
                  <c:v>21</c:v>
                </c:pt>
                <c:pt idx="3">
                  <c:v>148.00004336500001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39-43B2-96B0-3322E18A2A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98980608"/>
        <c:axId val="98982144"/>
        <c:axId val="0"/>
      </c:bar3DChart>
      <c:catAx>
        <c:axId val="98980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8982144"/>
        <c:crosses val="autoZero"/>
        <c:auto val="1"/>
        <c:lblAlgn val="ctr"/>
        <c:lblOffset val="100"/>
        <c:noMultiLvlLbl val="0"/>
      </c:catAx>
      <c:valAx>
        <c:axId val="98982144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98980608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41334856672329112"/>
          <c:y val="6.5752708388800304E-2"/>
          <c:w val="0.56906963100200714"/>
          <c:h val="0.16426189969497051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U.A.E</a:t>
            </a:r>
          </a:p>
        </c:rich>
      </c:tx>
      <c:layout>
        <c:manualLayout>
          <c:xMode val="edge"/>
          <c:yMode val="edge"/>
          <c:x val="2.7100629144397169E-2"/>
          <c:y val="5.8997727562562614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7791555475184094E-3"/>
          <c:y val="0.21837241944158128"/>
          <c:w val="0.93620620013283828"/>
          <c:h val="0.4763015519214641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capital'!$C$96</c:f>
              <c:strCache>
                <c:ptCount val="1"/>
                <c:pt idx="0">
                  <c:v>Sanctioned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capital'!$B$97:$B$100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</c:v>
                </c:pt>
                <c:pt idx="3">
                  <c:v>Total</c:v>
                </c:pt>
              </c:strCache>
            </c:strRef>
          </c:cat>
          <c:val>
            <c:numRef>
              <c:f>'3. Working capital'!$C$97:$C$100</c:f>
              <c:numCache>
                <c:formatCode>0</c:formatCode>
                <c:ptCount val="4"/>
                <c:pt idx="0">
                  <c:v>200</c:v>
                </c:pt>
                <c:pt idx="1">
                  <c:v>75</c:v>
                </c:pt>
                <c:pt idx="2">
                  <c:v>10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E-4D6D-9B07-1C389E15C5C3}"/>
            </c:ext>
          </c:extLst>
        </c:ser>
        <c:ser>
          <c:idx val="1"/>
          <c:order val="1"/>
          <c:tx>
            <c:strRef>
              <c:f>'3. Working capital'!$D$96</c:f>
              <c:strCache>
                <c:ptCount val="1"/>
                <c:pt idx="0">
                  <c:v>Utilised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dLbl>
              <c:idx val="0"/>
              <c:layout>
                <c:manualLayout>
                  <c:x val="4.0117137503455774E-2"/>
                  <c:y val="-7.99467693006924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AE-4D6D-9B07-1C389E15C5C3}"/>
                </c:ext>
              </c:extLst>
            </c:dLbl>
            <c:dLbl>
              <c:idx val="1"/>
              <c:layout>
                <c:manualLayout>
                  <c:x val="1.8401986151695884E-2"/>
                  <c:y val="4.142164777822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AE-4D6D-9B07-1C389E15C5C3}"/>
                </c:ext>
              </c:extLst>
            </c:dLbl>
            <c:dLbl>
              <c:idx val="2"/>
              <c:layout>
                <c:manualLayout>
                  <c:x val="2.4691358024691412E-2"/>
                  <c:y val="-2.6936026936026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AE-4D6D-9B07-1C389E15C5C3}"/>
                </c:ext>
              </c:extLst>
            </c:dLbl>
            <c:dLbl>
              <c:idx val="3"/>
              <c:layout>
                <c:manualLayout>
                  <c:x val="2.1463688340485079E-2"/>
                  <c:y val="-7.357064653826454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AE-4D6D-9B07-1C389E15C5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capital'!$B$97:$B$100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</c:v>
                </c:pt>
                <c:pt idx="3">
                  <c:v>Total</c:v>
                </c:pt>
              </c:strCache>
            </c:strRef>
          </c:cat>
          <c:val>
            <c:numRef>
              <c:f>'3. Working capital'!$D$97:$D$100</c:f>
              <c:numCache>
                <c:formatCode>0</c:formatCode>
                <c:ptCount val="4"/>
                <c:pt idx="0">
                  <c:v>0</c:v>
                </c:pt>
                <c:pt idx="1">
                  <c:v>70</c:v>
                </c:pt>
                <c:pt idx="2">
                  <c:v>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AE-4D6D-9B07-1C389E15C5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98898304"/>
        <c:axId val="98899840"/>
        <c:axId val="0"/>
      </c:bar3DChart>
      <c:catAx>
        <c:axId val="98898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8899840"/>
        <c:crosses val="autoZero"/>
        <c:auto val="1"/>
        <c:lblAlgn val="ctr"/>
        <c:lblOffset val="100"/>
        <c:noMultiLvlLbl val="0"/>
      </c:catAx>
      <c:valAx>
        <c:axId val="9889984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98898304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41334856672329112"/>
          <c:y val="6.5752708388800304E-2"/>
          <c:w val="0.56906963100200714"/>
          <c:h val="0.16426189969497051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51246544390361E-2"/>
          <c:y val="2.2231401402694081E-2"/>
          <c:w val="0.82490477132495799"/>
          <c:h val="0.69137673364599961"/>
        </c:manualLayout>
      </c:layout>
      <c:barChart>
        <c:barDir val="col"/>
        <c:grouping val="clustered"/>
        <c:varyColors val="0"/>
        <c:ser>
          <c:idx val="0"/>
          <c:order val="0"/>
          <c:tx>
            <c:v>ST Loans  </c:v>
          </c:tx>
          <c:invertIfNegative val="0"/>
          <c:cat>
            <c:strLit>
              <c:ptCount val="5"/>
              <c:pt idx="0">
                <c:v>31-Dec-2016</c:v>
              </c:pt>
              <c:pt idx="1">
                <c:v>31-Dec-2017</c:v>
              </c:pt>
              <c:pt idx="2">
                <c:v>31-Dec-2018</c:v>
              </c:pt>
              <c:pt idx="3">
                <c:v>30-Jun-26</c:v>
              </c:pt>
              <c:pt idx="4">
                <c:v>31-Dec-25</c:v>
              </c:pt>
            </c:strLit>
          </c:cat>
          <c:val>
            <c:numLit>
              <c:formatCode>_(* #,##0_);_(* \(#,##0\);_(* "-"??_);_(@_)</c:formatCode>
              <c:ptCount val="5"/>
              <c:pt idx="0">
                <c:v>192.62</c:v>
              </c:pt>
              <c:pt idx="1">
                <c:v>293.10000000000002</c:v>
              </c:pt>
              <c:pt idx="2">
                <c:v>160</c:v>
              </c:pt>
              <c:pt idx="3">
                <c:v>93</c:v>
              </c:pt>
              <c:pt idx="4">
                <c:v>558.34396018200005</c:v>
              </c:pt>
            </c:numLit>
          </c:val>
          <c:extLst>
            <c:ext xmlns:c16="http://schemas.microsoft.com/office/drawing/2014/chart" uri="{C3380CC4-5D6E-409C-BE32-E72D297353CC}">
              <c16:uniqueId val="{00000000-4E3B-4555-B72A-168DD2A217D6}"/>
            </c:ext>
          </c:extLst>
        </c:ser>
        <c:ser>
          <c:idx val="1"/>
          <c:order val="1"/>
          <c:tx>
            <c:v>LT Loans </c:v>
          </c:tx>
          <c:invertIfNegative val="0"/>
          <c:cat>
            <c:strLit>
              <c:ptCount val="5"/>
              <c:pt idx="0">
                <c:v>31-Dec-2016</c:v>
              </c:pt>
              <c:pt idx="1">
                <c:v>31-Dec-2017</c:v>
              </c:pt>
              <c:pt idx="2">
                <c:v>31-Dec-2018</c:v>
              </c:pt>
              <c:pt idx="3">
                <c:v>30-Jun-26</c:v>
              </c:pt>
              <c:pt idx="4">
                <c:v>31-Dec-25</c:v>
              </c:pt>
            </c:strLit>
          </c:cat>
          <c:val>
            <c:numLit>
              <c:formatCode>_(* #,##0_);_(* \(#,##0\);_(* "-"??_);_(@_)</c:formatCode>
              <c:ptCount val="5"/>
              <c:pt idx="0">
                <c:v>120.54</c:v>
              </c:pt>
              <c:pt idx="1">
                <c:v>85.159999999999968</c:v>
              </c:pt>
              <c:pt idx="2">
                <c:v>54.98</c:v>
              </c:pt>
              <c:pt idx="3">
                <c:v>418</c:v>
              </c:pt>
              <c:pt idx="4">
                <c:v>719.07054290481926</c:v>
              </c:pt>
            </c:numLit>
          </c:val>
          <c:extLst>
            <c:ext xmlns:c16="http://schemas.microsoft.com/office/drawing/2014/chart" uri="{C3380CC4-5D6E-409C-BE32-E72D297353CC}">
              <c16:uniqueId val="{00000001-4E3B-4555-B72A-168DD2A21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8944512"/>
        <c:axId val="98946048"/>
      </c:barChart>
      <c:lineChart>
        <c:grouping val="standard"/>
        <c:varyColors val="0"/>
        <c:ser>
          <c:idx val="2"/>
          <c:order val="2"/>
          <c:tx>
            <c:v>Short Term to Long Term ( no of times)</c:v>
          </c:tx>
          <c:dLbls>
            <c:spPr>
              <a:solidFill>
                <a:srgbClr val="FFFF00"/>
              </a:solidFill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31-Dec-2016</c:v>
              </c:pt>
              <c:pt idx="1">
                <c:v>31-Dec-2017</c:v>
              </c:pt>
              <c:pt idx="2">
                <c:v>31-Dec-2018</c:v>
              </c:pt>
              <c:pt idx="3">
                <c:v>30-Jun-26</c:v>
              </c:pt>
              <c:pt idx="4">
                <c:v>31-Dec-25</c:v>
              </c:pt>
            </c:strLit>
          </c:cat>
          <c:val>
            <c:numLit>
              <c:formatCode>0.00</c:formatCode>
              <c:ptCount val="5"/>
              <c:pt idx="0">
                <c:v>1.5979757756761241</c:v>
              </c:pt>
              <c:pt idx="1">
                <c:v>3.4417566932832333</c:v>
              </c:pt>
              <c:pt idx="2">
                <c:v>2.9101491451436887</c:v>
              </c:pt>
              <c:pt idx="3">
                <c:v>0.22248803827751196</c:v>
              </c:pt>
              <c:pt idx="4">
                <c:v>0.77648009043238753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E3B-4555-B72A-168DD2A21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49376"/>
        <c:axId val="98947840"/>
      </c:lineChart>
      <c:catAx>
        <c:axId val="9894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8946048"/>
        <c:crosses val="autoZero"/>
        <c:auto val="1"/>
        <c:lblAlgn val="ctr"/>
        <c:lblOffset val="100"/>
        <c:noMultiLvlLbl val="1"/>
      </c:catAx>
      <c:valAx>
        <c:axId val="989460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>
            <a:noFill/>
          </a:ln>
        </c:spPr>
        <c:txPr>
          <a:bodyPr/>
          <a:lstStyle/>
          <a:p>
            <a:pPr>
              <a:defRPr>
                <a:noFill/>
              </a:defRPr>
            </a:pPr>
            <a:endParaRPr lang="en-US"/>
          </a:p>
        </c:txPr>
        <c:crossAx val="98944512"/>
        <c:crossesAt val="42095"/>
        <c:crossBetween val="between"/>
      </c:valAx>
      <c:valAx>
        <c:axId val="989478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98949376"/>
        <c:crosses val="max"/>
        <c:crossBetween val="between"/>
      </c:valAx>
      <c:catAx>
        <c:axId val="9894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947840"/>
        <c:crosses val="autoZero"/>
        <c:auto val="1"/>
        <c:lblAlgn val="ctr"/>
        <c:lblOffset val="100"/>
        <c:noMultiLvlLbl val="1"/>
      </c:catAx>
    </c:plotArea>
    <c:legend>
      <c:legendPos val="b"/>
      <c:layout>
        <c:manualLayout>
          <c:xMode val="edge"/>
          <c:yMode val="edge"/>
          <c:x val="6.4046162404670925E-2"/>
          <c:y val="0.81360187737042344"/>
          <c:w val="0.8536280998813266"/>
          <c:h val="0.1608342153775960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7820575299977"/>
          <c:y val="7.1024243823127775E-2"/>
          <c:w val="0.80976186066518896"/>
          <c:h val="0.63149144811162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Debt &amp; Equity'!$B$30</c:f>
              <c:strCache>
                <c:ptCount val="1"/>
                <c:pt idx="0">
                  <c:v>Debt  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310490993618965E-3"/>
                  <c:y val="0.167875485400120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15-44FA-A5CD-F581498AAF27}"/>
                </c:ext>
              </c:extLst>
            </c:dLbl>
            <c:dLbl>
              <c:idx val="1"/>
              <c:layout>
                <c:manualLayout>
                  <c:x val="-1.3311022101748303E-3"/>
                  <c:y val="0.173096084300597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15-44FA-A5CD-F581498AAF27}"/>
                </c:ext>
              </c:extLst>
            </c:dLbl>
            <c:dLbl>
              <c:idx val="2"/>
              <c:layout>
                <c:manualLayout>
                  <c:x val="0"/>
                  <c:y val="0.172546749291913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15-44FA-A5CD-F581498AAF27}"/>
                </c:ext>
              </c:extLst>
            </c:dLbl>
            <c:dLbl>
              <c:idx val="3"/>
              <c:layout>
                <c:manualLayout>
                  <c:x val="1.4163377490678715E-3"/>
                  <c:y val="0.218018499816974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15-44FA-A5CD-F581498AAF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Debt &amp; Equity'!$C$28:$G$29</c:f>
              <c:strCache>
                <c:ptCount val="5"/>
                <c:pt idx="0">
                  <c:v>31-Dec-23</c:v>
                </c:pt>
                <c:pt idx="1">
                  <c:v>31-Dec-24</c:v>
                </c:pt>
                <c:pt idx="2">
                  <c:v>31-Dec-25</c:v>
                </c:pt>
                <c:pt idx="3">
                  <c:v>30-Jun-26</c:v>
                </c:pt>
                <c:pt idx="4">
                  <c:v>15-Aug-2026</c:v>
                </c:pt>
              </c:strCache>
            </c:strRef>
          </c:cat>
          <c:val>
            <c:numRef>
              <c:f>'5. Debt &amp; Equity'!$C$30:$G$30</c:f>
              <c:numCache>
                <c:formatCode>_(* #,##0_);_(* \(#,##0\);_(* "-"??_);_(@_)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15-44FA-A5CD-F581498AAF27}"/>
            </c:ext>
          </c:extLst>
        </c:ser>
        <c:ser>
          <c:idx val="1"/>
          <c:order val="1"/>
          <c:tx>
            <c:strRef>
              <c:f>'5. Debt &amp; Equity'!$B$31</c:f>
              <c:strCache>
                <c:ptCount val="1"/>
                <c:pt idx="0">
                  <c:v>Liquid Assets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accent1"/>
              </a:solidFill>
            </a:ln>
            <a:effectLst>
              <a:glow>
                <a:schemeClr val="accent1">
                  <a:alpha val="40000"/>
                </a:schemeClr>
              </a:glow>
              <a:outerShdw dir="5400000" sx="1000" sy="1000" algn="ctr" rotWithShape="0">
                <a:srgbClr val="000000">
                  <a:alpha val="50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4.2713389010456473E-2"/>
                  <c:y val="0.161555895356353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15-44FA-A5CD-F581498AAF27}"/>
                </c:ext>
              </c:extLst>
            </c:dLbl>
            <c:dLbl>
              <c:idx val="1"/>
              <c:layout>
                <c:manualLayout>
                  <c:x val="0"/>
                  <c:y val="0.232442979784781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15-44FA-A5CD-F581498AAF27}"/>
                </c:ext>
              </c:extLst>
            </c:dLbl>
            <c:dLbl>
              <c:idx val="2"/>
              <c:layout>
                <c:manualLayout>
                  <c:x val="-9.760913969742618E-17"/>
                  <c:y val="0.35512121911563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15-44FA-A5CD-F581498AAF27}"/>
                </c:ext>
              </c:extLst>
            </c:dLbl>
            <c:dLbl>
              <c:idx val="3"/>
              <c:layout>
                <c:manualLayout>
                  <c:x val="2.662098198723744E-3"/>
                  <c:y val="0.13559173820778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15-44FA-A5CD-F581498AAF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Debt &amp; Equity'!$C$28:$G$29</c:f>
              <c:strCache>
                <c:ptCount val="5"/>
                <c:pt idx="0">
                  <c:v>31-Dec-23</c:v>
                </c:pt>
                <c:pt idx="1">
                  <c:v>31-Dec-24</c:v>
                </c:pt>
                <c:pt idx="2">
                  <c:v>31-Dec-25</c:v>
                </c:pt>
                <c:pt idx="3">
                  <c:v>30-Jun-26</c:v>
                </c:pt>
                <c:pt idx="4">
                  <c:v>15-Aug-2026</c:v>
                </c:pt>
              </c:strCache>
            </c:strRef>
          </c:cat>
          <c:val>
            <c:numRef>
              <c:f>'5. Debt &amp; Equity'!$C$31:$G$31</c:f>
              <c:numCache>
                <c:formatCode>_(* #,##0_);_(* \(#,##0\);_(* "-"??_);_(@_)</c:formatCode>
                <c:ptCount val="5"/>
                <c:pt idx="0">
                  <c:v>525</c:v>
                </c:pt>
                <c:pt idx="1">
                  <c:v>510</c:v>
                </c:pt>
                <c:pt idx="2">
                  <c:v>560</c:v>
                </c:pt>
                <c:pt idx="3">
                  <c:v>395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15-44FA-A5CD-F581498AAF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1547535"/>
        <c:axId val="95879131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'5. Debt &amp; Equity'!$B$32</c15:sqref>
                        </c15:formulaRef>
                      </c:ext>
                    </c:extLst>
                    <c:strCache>
                      <c:ptCount val="1"/>
                      <c:pt idx="0">
                        <c:v>Cash at bank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'5. Debt &amp; Equity'!$C$28:$G$29</c15:sqref>
                        </c15:formulaRef>
                      </c:ext>
                    </c:extLst>
                    <c:strCache>
                      <c:ptCount val="5"/>
                      <c:pt idx="0">
                        <c:v>31-Dec-23</c:v>
                      </c:pt>
                      <c:pt idx="1">
                        <c:v>31-Dec-24</c:v>
                      </c:pt>
                      <c:pt idx="2">
                        <c:v>31-Dec-25</c:v>
                      </c:pt>
                      <c:pt idx="3">
                        <c:v>30-Jun-26</c:v>
                      </c:pt>
                      <c:pt idx="4">
                        <c:v>15-Aug-2026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 Debt &amp; Equity'!$C$32:$G$32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35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915-44FA-A5CD-F581498AAF2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Equity'!$B$33</c15:sqref>
                        </c15:formulaRef>
                      </c:ext>
                    </c:extLst>
                    <c:strCache>
                      <c:ptCount val="1"/>
                      <c:pt idx="0">
                        <c:v>Investments at Purchase cost(Shares)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Equity'!$C$28:$G$29</c15:sqref>
                        </c15:formulaRef>
                      </c:ext>
                    </c:extLst>
                    <c:strCache>
                      <c:ptCount val="5"/>
                      <c:pt idx="0">
                        <c:v>31-Dec-23</c:v>
                      </c:pt>
                      <c:pt idx="1">
                        <c:v>31-Dec-24</c:v>
                      </c:pt>
                      <c:pt idx="2">
                        <c:v>31-Dec-25</c:v>
                      </c:pt>
                      <c:pt idx="3">
                        <c:v>30-Jun-26</c:v>
                      </c:pt>
                      <c:pt idx="4">
                        <c:v>15-Aug-2026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Equity'!$C$33:$G$33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290</c:v>
                      </c:pt>
                      <c:pt idx="1">
                        <c:v>260</c:v>
                      </c:pt>
                      <c:pt idx="2">
                        <c:v>300</c:v>
                      </c:pt>
                      <c:pt idx="3">
                        <c:v>150</c:v>
                      </c:pt>
                      <c:pt idx="4">
                        <c:v>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915-44FA-A5CD-F581498AAF2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Equity'!$B$34</c15:sqref>
                        </c15:formulaRef>
                      </c:ext>
                    </c:extLst>
                    <c:strCache>
                      <c:ptCount val="1"/>
                      <c:pt idx="0">
                        <c:v>Investments at Purchase cost(Metal)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Equity'!$C$28:$G$29</c15:sqref>
                        </c15:formulaRef>
                      </c:ext>
                    </c:extLst>
                    <c:strCache>
                      <c:ptCount val="5"/>
                      <c:pt idx="0">
                        <c:v>31-Dec-23</c:v>
                      </c:pt>
                      <c:pt idx="1">
                        <c:v>31-Dec-24</c:v>
                      </c:pt>
                      <c:pt idx="2">
                        <c:v>31-Dec-25</c:v>
                      </c:pt>
                      <c:pt idx="3">
                        <c:v>30-Jun-26</c:v>
                      </c:pt>
                      <c:pt idx="4">
                        <c:v>15-Aug-2026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Equity'!$C$34:$G$34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915-44FA-A5CD-F581498AAF2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'5. Debt &amp; Equity'!$B$35</c:f>
              <c:strCache>
                <c:ptCount val="1"/>
                <c:pt idx="0">
                  <c:v>Liquid Assets to Debt ( no of times) Cost basis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510932972200018E-2"/>
                  <c:y val="-0.11698447271887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15-44FA-A5CD-F581498AAF27}"/>
                </c:ext>
              </c:extLst>
            </c:dLbl>
            <c:dLbl>
              <c:idx val="1"/>
              <c:layout>
                <c:manualLayout>
                  <c:x val="-5.6163911944715249E-3"/>
                  <c:y val="-0.106874873506854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15-44FA-A5CD-F581498AAF27}"/>
                </c:ext>
              </c:extLst>
            </c:dLbl>
            <c:dLbl>
              <c:idx val="2"/>
              <c:layout>
                <c:manualLayout>
                  <c:x val="-5.2191236929946816E-2"/>
                  <c:y val="-4.56461680971501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915-44FA-A5CD-F581498AAF27}"/>
                </c:ext>
              </c:extLst>
            </c:dLbl>
            <c:dLbl>
              <c:idx val="3"/>
              <c:layout>
                <c:manualLayout>
                  <c:x val="-1.8342485431300782E-2"/>
                  <c:y val="-2.9836283271324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915-44FA-A5CD-F581498AAF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Debt &amp; Equity'!$C$28:$G$29</c:f>
              <c:strCache>
                <c:ptCount val="5"/>
                <c:pt idx="0">
                  <c:v>31-Dec-23</c:v>
                </c:pt>
                <c:pt idx="1">
                  <c:v>31-Dec-24</c:v>
                </c:pt>
                <c:pt idx="2">
                  <c:v>31-Dec-25</c:v>
                </c:pt>
                <c:pt idx="3">
                  <c:v>30-Jun-26</c:v>
                </c:pt>
                <c:pt idx="4">
                  <c:v>15-Aug-2026</c:v>
                </c:pt>
              </c:strCache>
            </c:strRef>
          </c:cat>
          <c:val>
            <c:numRef>
              <c:f>'5. Debt &amp; Equity'!$C$35:$G$35</c:f>
              <c:numCache>
                <c:formatCode>0.00</c:formatCode>
                <c:ptCount val="5"/>
                <c:pt idx="0">
                  <c:v>5.25</c:v>
                </c:pt>
                <c:pt idx="1">
                  <c:v>2.5499999999999998</c:v>
                </c:pt>
                <c:pt idx="2">
                  <c:v>1.8666666666666667</c:v>
                </c:pt>
                <c:pt idx="3">
                  <c:v>0.98750000000000004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15-44FA-A5CD-F581498AAF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1594735"/>
        <c:axId val="874327599"/>
      </c:lineChart>
      <c:catAx>
        <c:axId val="125154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91311"/>
        <c:crosses val="autoZero"/>
        <c:auto val="1"/>
        <c:lblAlgn val="ctr"/>
        <c:lblOffset val="100"/>
        <c:tickLblSkip val="1"/>
        <c:noMultiLvlLbl val="0"/>
      </c:catAx>
      <c:valAx>
        <c:axId val="95879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47535"/>
        <c:crosses val="autoZero"/>
        <c:crossBetween val="between"/>
      </c:valAx>
      <c:valAx>
        <c:axId val="87432759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94735"/>
        <c:crosses val="max"/>
        <c:crossBetween val="between"/>
      </c:valAx>
      <c:catAx>
        <c:axId val="1251594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4327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100" b="1">
                <a:latin typeface="+mn-lt"/>
              </a:rPr>
              <a:t>Short term loans repayment schedule </a:t>
            </a:r>
          </a:p>
        </c:rich>
      </c:tx>
      <c:layout>
        <c:manualLayout>
          <c:xMode val="edge"/>
          <c:yMode val="edge"/>
          <c:x val="7.0920754283295528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81738338317153"/>
          <c:y val="0.18023327404215778"/>
          <c:w val="0.84431579215100994"/>
          <c:h val="0.66733873679788336"/>
        </c:manualLayout>
      </c:layout>
      <c:lineChart>
        <c:grouping val="standard"/>
        <c:varyColors val="0"/>
        <c:ser>
          <c:idx val="0"/>
          <c:order val="0"/>
          <c:tx>
            <c:strRef>
              <c:f>'4. Loan'!$C$10:$E$10</c:f>
              <c:strCache>
                <c:ptCount val="3"/>
                <c:pt idx="0">
                  <c:v>Aug-26</c:v>
                </c:pt>
                <c:pt idx="1">
                  <c:v>Sep-26</c:v>
                </c:pt>
                <c:pt idx="2">
                  <c:v>Oct-26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547326991703861E-2"/>
                  <c:y val="-3.652878727302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48-40EC-81D2-6F56DF72BC1C}"/>
                </c:ext>
              </c:extLst>
            </c:dLbl>
            <c:dLbl>
              <c:idx val="1"/>
              <c:layout>
                <c:manualLayout>
                  <c:x val="-4.0803681051991524E-2"/>
                  <c:y val="5.47931809095379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48-40EC-81D2-6F56DF72BC1C}"/>
                </c:ext>
              </c:extLst>
            </c:dLbl>
            <c:dLbl>
              <c:idx val="2"/>
              <c:layout>
                <c:manualLayout>
                  <c:x val="-8.7436459397125538E-3"/>
                  <c:y val="-1.1161444951015454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48-40EC-81D2-6F56DF72BC1C}"/>
                </c:ext>
              </c:extLst>
            </c:dLbl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noFill/>
                    </a:ln>
                    <a:effectLst/>
                  </c:spPr>
                </c15:leaderLines>
              </c:ext>
            </c:extLst>
          </c:dLbls>
          <c:cat>
            <c:numRef>
              <c:f>'4. Loan'!$C$10:$E$10</c:f>
              <c:numCache>
                <c:formatCode>mmm\-yy</c:formatCode>
                <c:ptCount val="3"/>
                <c:pt idx="0">
                  <c:v>46265</c:v>
                </c:pt>
                <c:pt idx="1">
                  <c:v>46295</c:v>
                </c:pt>
                <c:pt idx="2">
                  <c:v>46326</c:v>
                </c:pt>
              </c:numCache>
            </c:numRef>
          </c:cat>
          <c:val>
            <c:numRef>
              <c:f>'4. Loan'!$C$16:$E$16</c:f>
              <c:numCache>
                <c:formatCode>_(* #,##0_);_(* \(#,##0\);_(* "-"??_);_(@_)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48-40EC-81D2-6F56DF72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471791"/>
        <c:axId val="1886417599"/>
      </c:lineChart>
      <c:dateAx>
        <c:axId val="1994471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17599"/>
        <c:crosses val="autoZero"/>
        <c:auto val="1"/>
        <c:lblOffset val="100"/>
        <c:baseTimeUnit val="months"/>
      </c:dateAx>
      <c:valAx>
        <c:axId val="18864175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7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927117364208871E-2"/>
          <c:y val="8.0878656831337964E-2"/>
          <c:w val="0.96970489505517665"/>
          <c:h val="0.7340146719830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 Loan'!$G$11:$G$16</c:f>
              <c:strCache>
                <c:ptCount val="6"/>
                <c:pt idx="0">
                  <c:v>QIB @ 4%</c:v>
                </c:pt>
                <c:pt idx="1">
                  <c:v>Mashreq @ 4%</c:v>
                </c:pt>
                <c:pt idx="2">
                  <c:v>UBS @ 4%</c:v>
                </c:pt>
                <c:pt idx="3">
                  <c:v>Dukhan @ 4%</c:v>
                </c:pt>
                <c:pt idx="4">
                  <c:v> Al Rayan @ 4%</c:v>
                </c:pt>
                <c:pt idx="5">
                  <c:v> Total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3CC-46FA-8103-AC78439E9E1D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A3CC-46FA-8103-AC78439E9E1D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5-A3CC-46FA-8103-AC78439E9E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7-A3CC-46FA-8103-AC78439E9E1D}"/>
              </c:ext>
            </c:extLst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9-A3CC-46FA-8103-AC78439E9E1D}"/>
              </c:ext>
            </c:extLst>
          </c:dPt>
          <c:dLbls>
            <c:dLbl>
              <c:idx val="0"/>
              <c:layout>
                <c:manualLayout>
                  <c:x val="1.2781746940734159E-2"/>
                  <c:y val="-1.8581432028536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CC-46FA-8103-AC78439E9E1D}"/>
                </c:ext>
              </c:extLst>
            </c:dLbl>
            <c:dLbl>
              <c:idx val="1"/>
              <c:layout>
                <c:manualLayout>
                  <c:x val="-9.117120540537621E-3"/>
                  <c:y val="-5.6382382059451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CC-46FA-8103-AC78439E9E1D}"/>
                </c:ext>
              </c:extLst>
            </c:dLbl>
            <c:dLbl>
              <c:idx val="2"/>
              <c:layout>
                <c:manualLayout>
                  <c:x val="1.4474573582806101E-2"/>
                  <c:y val="-3.1490406421274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CC-46FA-8103-AC78439E9E1D}"/>
                </c:ext>
              </c:extLst>
            </c:dLbl>
            <c:dLbl>
              <c:idx val="3"/>
              <c:layout>
                <c:manualLayout>
                  <c:x val="0"/>
                  <c:y val="-4.3852963824017925E-2"/>
                </c:manualLayout>
              </c:layout>
              <c:spPr/>
              <c:txPr>
                <a:bodyPr lIns="38100" tIns="19050" rIns="38100" bIns="19050">
                  <a:spAutoFit/>
                </a:bodyPr>
                <a:lstStyle/>
                <a:p>
                  <a:pPr>
                    <a:defRPr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CC-46FA-8103-AC78439E9E1D}"/>
                </c:ext>
              </c:extLst>
            </c:dLbl>
            <c:dLbl>
              <c:idx val="5"/>
              <c:layout>
                <c:manualLayout>
                  <c:x val="2.7364778967761273E-2"/>
                  <c:y val="-5.377429193653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CC-46FA-8103-AC78439E9E1D}"/>
                </c:ext>
              </c:extLst>
            </c:dLbl>
            <c:dLbl>
              <c:idx val="7"/>
              <c:layout>
                <c:manualLayout>
                  <c:x val="2.1283716974925437E-2"/>
                  <c:y val="-4.1824449283973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CC-46FA-8103-AC78439E9E1D}"/>
                </c:ext>
              </c:extLst>
            </c:dLbl>
            <c:dLbl>
              <c:idx val="11"/>
              <c:layout>
                <c:manualLayout>
                  <c:x val="4.1121340564953507E-2"/>
                  <c:y val="-4.398670562434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CC-46FA-8103-AC78439E9E1D}"/>
                </c:ext>
              </c:extLst>
            </c:dLbl>
            <c:dLbl>
              <c:idx val="13"/>
              <c:layout>
                <c:manualLayout>
                  <c:x val="2.9287543881583639E-2"/>
                  <c:y val="-5.2783946714232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3CC-46FA-8103-AC78439E9E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 Loan'!$G$11:$G$16</c15:sqref>
                  </c15:fullRef>
                </c:ext>
              </c:extLst>
              <c:f>'4. Loan'!$G$12:$G$16</c:f>
              <c:strCache>
                <c:ptCount val="5"/>
                <c:pt idx="0">
                  <c:v>Mashreq @ 4%</c:v>
                </c:pt>
                <c:pt idx="1">
                  <c:v>UBS @ 4%</c:v>
                </c:pt>
                <c:pt idx="2">
                  <c:v>Dukhan @ 4%</c:v>
                </c:pt>
                <c:pt idx="3">
                  <c:v> Al Rayan @ 4%</c:v>
                </c:pt>
                <c:pt idx="4">
                  <c:v> Total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 Loan'!$F$11:$F$16</c15:sqref>
                  </c15:fullRef>
                </c:ext>
              </c:extLst>
              <c:f>'4. Loan'!$F$12:$F$16</c:f>
              <c:numCache>
                <c:formatCode>_(* #,##0_);_(* \(#,##0\);_(* "-"??_);_(@_)</c:formatCode>
                <c:ptCount val="5"/>
                <c:pt idx="0">
                  <c:v>70</c:v>
                </c:pt>
                <c:pt idx="1">
                  <c:v>25</c:v>
                </c:pt>
                <c:pt idx="2">
                  <c:v>20</c:v>
                </c:pt>
                <c:pt idx="3">
                  <c:v>10</c:v>
                </c:pt>
                <c:pt idx="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3CC-46FA-8103-AC78439E9E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3564800"/>
        <c:axId val="83582976"/>
      </c:barChart>
      <c:catAx>
        <c:axId val="83564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83582976"/>
        <c:crosses val="autoZero"/>
        <c:auto val="1"/>
        <c:lblAlgn val="ctr"/>
        <c:lblOffset val="100"/>
        <c:noMultiLvlLbl val="0"/>
      </c:catAx>
      <c:valAx>
        <c:axId val="83582976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83564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 Working Capital Finance</a:t>
            </a:r>
          </a:p>
        </c:rich>
      </c:tx>
      <c:layout>
        <c:manualLayout>
          <c:xMode val="edge"/>
          <c:yMode val="edge"/>
          <c:x val="2.9034220006387137E-2"/>
          <c:y val="3.9261812260526149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8800705467374408E-2"/>
          <c:y val="0.17489840260034412"/>
          <c:w val="0.92762071407740765"/>
          <c:h val="0.4947815960091083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capital'!$C$32</c:f>
              <c:strCache>
                <c:ptCount val="1"/>
                <c:pt idx="0">
                  <c:v>Sanctioned 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1.09843178696550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BC-4CA6-B700-65FA8F692F12}"/>
                </c:ext>
              </c:extLst>
            </c:dLbl>
            <c:dLbl>
              <c:idx val="1"/>
              <c:layout>
                <c:manualLayout>
                  <c:x val="1.5709461548928123E-2"/>
                  <c:y val="-2.45430937732958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BC-4CA6-B700-65FA8F692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capital'!$B$67:$B$70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capital'!$C$67:$C$70</c:f>
              <c:numCache>
                <c:formatCode>0</c:formatCode>
                <c:ptCount val="4"/>
                <c:pt idx="0">
                  <c:v>625</c:v>
                </c:pt>
                <c:pt idx="1">
                  <c:v>365</c:v>
                </c:pt>
                <c:pt idx="2">
                  <c:v>90</c:v>
                </c:pt>
                <c:pt idx="3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BC-4CA6-B700-65FA8F692F12}"/>
            </c:ext>
          </c:extLst>
        </c:ser>
        <c:ser>
          <c:idx val="1"/>
          <c:order val="1"/>
          <c:tx>
            <c:strRef>
              <c:f>'3. Working capital'!$D$32</c:f>
              <c:strCache>
                <c:ptCount val="1"/>
                <c:pt idx="0">
                  <c:v>Utilised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5273368606704242E-2"/>
                  <c:y val="-7.2072072072072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BC-4CA6-B700-65FA8F692F12}"/>
                </c:ext>
              </c:extLst>
            </c:dLbl>
            <c:dLbl>
              <c:idx val="1"/>
              <c:layout>
                <c:manualLayout>
                  <c:x val="5.0873916109001396E-2"/>
                  <c:y val="-6.7337860753168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BC-4CA6-B700-65FA8F692F12}"/>
                </c:ext>
              </c:extLst>
            </c:dLbl>
            <c:dLbl>
              <c:idx val="2"/>
              <c:layout>
                <c:manualLayout>
                  <c:x val="3.5273368606704242E-2"/>
                  <c:y val="-2.693622756614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BC-4CA6-B700-65FA8F692F12}"/>
                </c:ext>
              </c:extLst>
            </c:dLbl>
            <c:dLbl>
              <c:idx val="3"/>
              <c:layout>
                <c:manualLayout>
                  <c:x val="5.2225183143319677E-2"/>
                  <c:y val="-8.872005750892864E-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87208795214442"/>
                      <c:h val="0.112395614080120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ABC-4CA6-B700-65FA8F692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capital'!$B$67:$B$70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capital'!$D$67:$D$70</c:f>
              <c:numCache>
                <c:formatCode>0</c:formatCode>
                <c:ptCount val="4"/>
                <c:pt idx="0">
                  <c:v>115.00004336500001</c:v>
                </c:pt>
                <c:pt idx="1">
                  <c:v>97</c:v>
                </c:pt>
                <c:pt idx="2">
                  <c:v>20.715586000000002</c:v>
                </c:pt>
                <c:pt idx="3">
                  <c:v>232.71562936500001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BC-4CA6-B700-65FA8F692F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441152"/>
        <c:axId val="81442688"/>
        <c:axId val="0"/>
      </c:bar3DChart>
      <c:catAx>
        <c:axId val="8144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1442688"/>
        <c:crosses val="autoZero"/>
        <c:auto val="1"/>
        <c:lblAlgn val="ctr"/>
        <c:lblOffset val="100"/>
        <c:noMultiLvlLbl val="0"/>
      </c:catAx>
      <c:valAx>
        <c:axId val="8144268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81441152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1.4783016417356356E-2"/>
          <c:y val="0.13930058262499434"/>
          <c:w val="0.63349081038921884"/>
          <c:h val="7.8085118329826175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Switzer</a:t>
            </a:r>
            <a:r>
              <a:rPr lang="en-US" sz="12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land</a:t>
            </a:r>
            <a:endParaRPr lang="en-US" sz="12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2.7100629144397169E-2"/>
          <c:y val="5.8997727562562614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379398205088247E-4"/>
          <c:y val="0.21837229023112223"/>
          <c:w val="0.92762071407740765"/>
          <c:h val="0.4682754143896767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capital'!$C$90</c:f>
              <c:strCache>
                <c:ptCount val="1"/>
                <c:pt idx="0">
                  <c:v>Sanctioned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capital'!$B$91:$B$94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</c:v>
                </c:pt>
                <c:pt idx="3">
                  <c:v>Total</c:v>
                </c:pt>
              </c:strCache>
            </c:strRef>
          </c:cat>
          <c:val>
            <c:numRef>
              <c:f>'3. Working capital'!$C$91:$C$94</c:f>
              <c:numCache>
                <c:formatCode>0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5-4D93-ACD2-1460623B69C7}"/>
            </c:ext>
          </c:extLst>
        </c:ser>
        <c:ser>
          <c:idx val="1"/>
          <c:order val="1"/>
          <c:tx>
            <c:strRef>
              <c:f>'3. Working capital'!$D$90</c:f>
              <c:strCache>
                <c:ptCount val="1"/>
                <c:pt idx="0">
                  <c:v>Utilised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dLbl>
              <c:idx val="0"/>
              <c:layout>
                <c:manualLayout>
                  <c:x val="4.0117137503455774E-2"/>
                  <c:y val="-7.99467693006924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B5-4D93-ACD2-1460623B69C7}"/>
                </c:ext>
              </c:extLst>
            </c:dLbl>
            <c:dLbl>
              <c:idx val="1"/>
              <c:layout>
                <c:manualLayout>
                  <c:x val="1.4109347442680775E-2"/>
                  <c:y val="-6.73400673400670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B5-4D93-ACD2-1460623B69C7}"/>
                </c:ext>
              </c:extLst>
            </c:dLbl>
            <c:dLbl>
              <c:idx val="2"/>
              <c:layout>
                <c:manualLayout>
                  <c:x val="2.4691358024691412E-2"/>
                  <c:y val="-2.6936026936026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B5-4D93-ACD2-1460623B6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capital'!$B$91:$B$94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</c:v>
                </c:pt>
                <c:pt idx="3">
                  <c:v>Total</c:v>
                </c:pt>
              </c:strCache>
            </c:strRef>
          </c:cat>
          <c:val>
            <c:numRef>
              <c:f>'3. Working capital'!$D$91:$D$94</c:f>
              <c:numCache>
                <c:formatCode>0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B5-4D93-ACD2-1460623B6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98898304"/>
        <c:axId val="98899840"/>
        <c:axId val="0"/>
      </c:bar3DChart>
      <c:catAx>
        <c:axId val="98898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8899840"/>
        <c:crosses val="autoZero"/>
        <c:auto val="1"/>
        <c:lblAlgn val="ctr"/>
        <c:lblOffset val="100"/>
        <c:noMultiLvlLbl val="0"/>
      </c:catAx>
      <c:valAx>
        <c:axId val="9889984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98898304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41334856672329112"/>
          <c:y val="6.5752708388800304E-2"/>
          <c:w val="0.56906963100200714"/>
          <c:h val="0.16426189969497051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257683466982553E-2"/>
          <c:y val="4.8257166054301005E-2"/>
          <c:w val="0.98250220735662264"/>
          <c:h val="0.734014671983079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'4. Loan'!$K$21:$K$26</c:f>
              <c:strCache>
                <c:ptCount val="6"/>
                <c:pt idx="0">
                  <c:v> 42.0 </c:v>
                </c:pt>
                <c:pt idx="1">
                  <c:v> 60.0 </c:v>
                </c:pt>
                <c:pt idx="2">
                  <c:v> 117.0 </c:v>
                </c:pt>
                <c:pt idx="3">
                  <c:v> 175.0 </c:v>
                </c:pt>
                <c:pt idx="4">
                  <c:v> 100.0 </c:v>
                </c:pt>
                <c:pt idx="5">
                  <c:v> 494.0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3C2F-44D2-A4EB-62133E22FB22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3C2F-44D2-A4EB-62133E22FB2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C2F-44D2-A4EB-62133E22FB2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3C2F-44D2-A4EB-62133E22FB22}"/>
              </c:ext>
            </c:extLst>
          </c:dPt>
          <c:dPt>
            <c:idx val="12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9-3C2F-44D2-A4EB-62133E22FB22}"/>
              </c:ext>
            </c:extLst>
          </c:dPt>
          <c:dLbls>
            <c:dLbl>
              <c:idx val="0"/>
              <c:layout>
                <c:manualLayout>
                  <c:x val="1.0715098192565978E-4"/>
                  <c:y val="8.8912768920550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2F-44D2-A4EB-62133E22FB22}"/>
                </c:ext>
              </c:extLst>
            </c:dLbl>
            <c:dLbl>
              <c:idx val="1"/>
              <c:layout>
                <c:manualLayout>
                  <c:x val="-2.6685440523801069E-3"/>
                  <c:y val="6.7760104495724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2F-44D2-A4EB-62133E22FB22}"/>
                </c:ext>
              </c:extLst>
            </c:dLbl>
            <c:dLbl>
              <c:idx val="2"/>
              <c:layout>
                <c:manualLayout>
                  <c:x val="-3.7799935366104754E-3"/>
                  <c:y val="8.4746678295965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2F-44D2-A4EB-62133E22FB22}"/>
                </c:ext>
              </c:extLst>
            </c:dLbl>
            <c:dLbl>
              <c:idx val="3"/>
              <c:layout>
                <c:manualLayout>
                  <c:x val="1.6627836019975945E-3"/>
                  <c:y val="0.113584805799645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b="1"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340240653147848E-2"/>
                      <c:h val="9.71481318660669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C2F-44D2-A4EB-62133E22FB22}"/>
                </c:ext>
              </c:extLst>
            </c:dLbl>
            <c:dLbl>
              <c:idx val="4"/>
              <c:layout>
                <c:manualLayout>
                  <c:x val="1.6934036421960719E-3"/>
                  <c:y val="0.10899193227953317"/>
                </c:manualLayout>
              </c:layout>
              <c:spPr/>
              <c:txPr>
                <a:bodyPr lIns="38100" tIns="19050" rIns="38100" bIns="19050">
                  <a:spAutoFit/>
                </a:bodyPr>
                <a:lstStyle/>
                <a:p>
                  <a:pPr>
                    <a:defRPr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2F-44D2-A4EB-62133E22FB22}"/>
                </c:ext>
              </c:extLst>
            </c:dLbl>
            <c:dLbl>
              <c:idx val="5"/>
              <c:layout>
                <c:manualLayout>
                  <c:x val="6.8318807293489929E-3"/>
                  <c:y val="0.13520637603144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2F-44D2-A4EB-62133E22FB22}"/>
                </c:ext>
              </c:extLst>
            </c:dLbl>
            <c:dLbl>
              <c:idx val="6"/>
              <c:layout>
                <c:manualLayout>
                  <c:x val="2.7364778967761273E-2"/>
                  <c:y val="-5.377429193653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C2F-44D2-A4EB-62133E22FB22}"/>
                </c:ext>
              </c:extLst>
            </c:dLbl>
            <c:dLbl>
              <c:idx val="8"/>
              <c:layout>
                <c:manualLayout>
                  <c:x val="2.1283716974925437E-2"/>
                  <c:y val="-4.1824449283973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C2F-44D2-A4EB-62133E22FB22}"/>
                </c:ext>
              </c:extLst>
            </c:dLbl>
            <c:dLbl>
              <c:idx val="12"/>
              <c:layout>
                <c:manualLayout>
                  <c:x val="4.1121340564953507E-2"/>
                  <c:y val="-4.398670562434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2F-44D2-A4EB-62133E22FB22}"/>
                </c:ext>
              </c:extLst>
            </c:dLbl>
            <c:dLbl>
              <c:idx val="14"/>
              <c:layout>
                <c:manualLayout>
                  <c:x val="2.9287543881583639E-2"/>
                  <c:y val="-5.2783946714232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C2F-44D2-A4EB-62133E22FB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Loan'!$C$21:$C$26</c:f>
              <c:strCache>
                <c:ptCount val="6"/>
                <c:pt idx="0">
                  <c:v>MAI # 1</c:v>
                </c:pt>
                <c:pt idx="1">
                  <c:v>UBS # 1</c:v>
                </c:pt>
                <c:pt idx="2">
                  <c:v>DUK # 1</c:v>
                </c:pt>
                <c:pt idx="3">
                  <c:v>MAI # 2</c:v>
                </c:pt>
                <c:pt idx="4">
                  <c:v>DUK # 2</c:v>
                </c:pt>
                <c:pt idx="5">
                  <c:v>Total</c:v>
                </c:pt>
              </c:strCache>
            </c:strRef>
          </c:cat>
          <c:val>
            <c:numRef>
              <c:f>'4. Loan'!$K$21:$K$26</c:f>
              <c:numCache>
                <c:formatCode>_(* #,##0.0_);_(* \(#,##0.0\);_(* "-"??_);_(@_)</c:formatCode>
                <c:ptCount val="6"/>
                <c:pt idx="0">
                  <c:v>42</c:v>
                </c:pt>
                <c:pt idx="1">
                  <c:v>60</c:v>
                </c:pt>
                <c:pt idx="2">
                  <c:v>117</c:v>
                </c:pt>
                <c:pt idx="3">
                  <c:v>175</c:v>
                </c:pt>
                <c:pt idx="4">
                  <c:v>100</c:v>
                </c:pt>
                <c:pt idx="5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C2F-44D2-A4EB-62133E22FB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shape val="box"/>
        <c:axId val="83564800"/>
        <c:axId val="83582976"/>
        <c:axId val="0"/>
      </c:bar3DChart>
      <c:catAx>
        <c:axId val="83564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3582976"/>
        <c:crosses val="autoZero"/>
        <c:auto val="1"/>
        <c:lblAlgn val="ctr"/>
        <c:lblOffset val="100"/>
        <c:noMultiLvlLbl val="0"/>
      </c:catAx>
      <c:valAx>
        <c:axId val="83582976"/>
        <c:scaling>
          <c:orientation val="minMax"/>
        </c:scaling>
        <c:delete val="1"/>
        <c:axPos val="l"/>
        <c:numFmt formatCode="_(* #,##0.0_);_(* \(#,##0.0\);_(* &quot;-&quot;??_);_(@_)" sourceLinked="1"/>
        <c:majorTickMark val="out"/>
        <c:minorTickMark val="none"/>
        <c:tickLblPos val="none"/>
        <c:crossAx val="83564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Debt &amp; Equity'!$B$40</c:f>
              <c:strCache>
                <c:ptCount val="1"/>
                <c:pt idx="0">
                  <c:v>Debt  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309148716714157E-3"/>
                  <c:y val="2.41499538129421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C8-4F8A-A2EF-EDC0B897FD1A}"/>
                </c:ext>
              </c:extLst>
            </c:dLbl>
            <c:dLbl>
              <c:idx val="1"/>
              <c:layout>
                <c:manualLayout>
                  <c:x val="-6.6090440315480295E-3"/>
                  <c:y val="1.9518542615484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C8-4F8A-A2EF-EDC0B897FD1A}"/>
                </c:ext>
              </c:extLst>
            </c:dLbl>
            <c:dLbl>
              <c:idx val="2"/>
              <c:layout>
                <c:manualLayout>
                  <c:x val="-2.639001014840749E-3"/>
                  <c:y val="2.65851796805196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C8-4F8A-A2EF-EDC0B897FD1A}"/>
                </c:ext>
              </c:extLst>
            </c:dLbl>
            <c:dLbl>
              <c:idx val="3"/>
              <c:layout>
                <c:manualLayout>
                  <c:x val="-3.969915886512165E-3"/>
                  <c:y val="3.2317318961111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C8-4F8A-A2EF-EDC0B897FD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Debt &amp; Equity'!$C$39:$G$39</c:f>
              <c:strCache>
                <c:ptCount val="5"/>
                <c:pt idx="0">
                  <c:v>31-Dec-23</c:v>
                </c:pt>
                <c:pt idx="1">
                  <c:v>31-Dec-24</c:v>
                </c:pt>
                <c:pt idx="2">
                  <c:v>31-Dec-25</c:v>
                </c:pt>
                <c:pt idx="3">
                  <c:v>30-Jun-26</c:v>
                </c:pt>
                <c:pt idx="4">
                  <c:v>15-Aug-2026</c:v>
                </c:pt>
              </c:strCache>
            </c:strRef>
          </c:cat>
          <c:val>
            <c:numRef>
              <c:f>'5. Debt &amp; Equity'!$C$40:$G$40</c:f>
              <c:numCache>
                <c:formatCode>_(* #,##0_);_(* \(#,##0\);_(* "-"??_);_(@_)</c:formatCode>
                <c:ptCount val="5"/>
                <c:pt idx="0">
                  <c:v>525</c:v>
                </c:pt>
                <c:pt idx="1">
                  <c:v>525</c:v>
                </c:pt>
                <c:pt idx="2">
                  <c:v>682.4</c:v>
                </c:pt>
                <c:pt idx="3">
                  <c:v>1173.9000000000001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C8-4F8A-A2EF-EDC0B897FD1A}"/>
            </c:ext>
          </c:extLst>
        </c:ser>
        <c:ser>
          <c:idx val="1"/>
          <c:order val="1"/>
          <c:tx>
            <c:strRef>
              <c:f>'5. Debt &amp; Equity'!$B$41</c:f>
              <c:strCache>
                <c:ptCount val="1"/>
                <c:pt idx="0">
                  <c:v>Liquid Assets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accent1"/>
              </a:solidFill>
            </a:ln>
            <a:effectLst>
              <a:glow>
                <a:schemeClr val="accent1">
                  <a:alpha val="40000"/>
                </a:schemeClr>
              </a:glow>
              <a:outerShdw dir="5400000" sx="1000" sy="1000" algn="ctr" rotWithShape="0">
                <a:srgbClr val="000000">
                  <a:alpha val="50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1820923152273845E-2"/>
                  <c:y val="0.15496199342433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C8-4F8A-A2EF-EDC0B897FD1A}"/>
                </c:ext>
              </c:extLst>
            </c:dLbl>
            <c:dLbl>
              <c:idx val="1"/>
              <c:layout>
                <c:manualLayout>
                  <c:x val="1.0542721890052644E-2"/>
                  <c:y val="0.163757966699913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C8-4F8A-A2EF-EDC0B897FD1A}"/>
                </c:ext>
              </c:extLst>
            </c:dLbl>
            <c:dLbl>
              <c:idx val="2"/>
              <c:layout>
                <c:manualLayout>
                  <c:x val="0"/>
                  <c:y val="0.107853874314430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C8-4F8A-A2EF-EDC0B897FD1A}"/>
                </c:ext>
              </c:extLst>
            </c:dLbl>
            <c:dLbl>
              <c:idx val="3"/>
              <c:layout>
                <c:manualLayout>
                  <c:x val="2.662098198723744E-3"/>
                  <c:y val="0.13559173820778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C8-4F8A-A2EF-EDC0B897FD1A}"/>
                </c:ext>
              </c:extLst>
            </c:dLbl>
            <c:dLbl>
              <c:idx val="4"/>
              <c:layout>
                <c:manualLayout>
                  <c:x val="1.5814896495656504E-2"/>
                  <c:y val="0.139182758736360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C8-4F8A-A2EF-EDC0B897FD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Debt &amp; Equity'!$C$39:$G$39</c:f>
              <c:strCache>
                <c:ptCount val="5"/>
                <c:pt idx="0">
                  <c:v>31-Dec-23</c:v>
                </c:pt>
                <c:pt idx="1">
                  <c:v>31-Dec-24</c:v>
                </c:pt>
                <c:pt idx="2">
                  <c:v>31-Dec-25</c:v>
                </c:pt>
                <c:pt idx="3">
                  <c:v>30-Jun-26</c:v>
                </c:pt>
                <c:pt idx="4">
                  <c:v>15-Aug-2026</c:v>
                </c:pt>
              </c:strCache>
            </c:strRef>
          </c:cat>
          <c:val>
            <c:numRef>
              <c:f>'5. Debt &amp; Equity'!$C$41:$G$41</c:f>
              <c:numCache>
                <c:formatCode>_(* #,##0_);_(* \(#,##0\);_(* "-"??_);_(@_)</c:formatCode>
                <c:ptCount val="5"/>
                <c:pt idx="0">
                  <c:v>549.5</c:v>
                </c:pt>
                <c:pt idx="1">
                  <c:v>533</c:v>
                </c:pt>
                <c:pt idx="2">
                  <c:v>585</c:v>
                </c:pt>
                <c:pt idx="3">
                  <c:v>412.5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C8-4F8A-A2EF-EDC0B897F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1547535"/>
        <c:axId val="95879131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'5. Debt &amp; Equity'!$B$32</c15:sqref>
                        </c15:formulaRef>
                      </c:ext>
                    </c:extLst>
                    <c:strCache>
                      <c:ptCount val="1"/>
                      <c:pt idx="0">
                        <c:v>Cash at bank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'5. Debt &amp; Equity'!$C$39:$G$39</c15:sqref>
                        </c15:formulaRef>
                      </c:ext>
                    </c:extLst>
                    <c:strCache>
                      <c:ptCount val="5"/>
                      <c:pt idx="0">
                        <c:v>31-Dec-23</c:v>
                      </c:pt>
                      <c:pt idx="1">
                        <c:v>31-Dec-24</c:v>
                      </c:pt>
                      <c:pt idx="2">
                        <c:v>31-Dec-25</c:v>
                      </c:pt>
                      <c:pt idx="3">
                        <c:v>30-Jun-26</c:v>
                      </c:pt>
                      <c:pt idx="4">
                        <c:v>15-Aug-2026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 Debt &amp; Equity'!$C$32:$G$32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35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EAC8-4F8A-A2EF-EDC0B897FD1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Equity'!$B$33</c15:sqref>
                        </c15:formulaRef>
                      </c:ext>
                    </c:extLst>
                    <c:strCache>
                      <c:ptCount val="1"/>
                      <c:pt idx="0">
                        <c:v>Investments at Purchase cost(Shares)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Equity'!$C$39:$G$39</c15:sqref>
                        </c15:formulaRef>
                      </c:ext>
                    </c:extLst>
                    <c:strCache>
                      <c:ptCount val="5"/>
                      <c:pt idx="0">
                        <c:v>31-Dec-23</c:v>
                      </c:pt>
                      <c:pt idx="1">
                        <c:v>31-Dec-24</c:v>
                      </c:pt>
                      <c:pt idx="2">
                        <c:v>31-Dec-25</c:v>
                      </c:pt>
                      <c:pt idx="3">
                        <c:v>30-Jun-26</c:v>
                      </c:pt>
                      <c:pt idx="4">
                        <c:v>15-Aug-2026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Equity'!$C$33:$G$33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290</c:v>
                      </c:pt>
                      <c:pt idx="1">
                        <c:v>260</c:v>
                      </c:pt>
                      <c:pt idx="2">
                        <c:v>300</c:v>
                      </c:pt>
                      <c:pt idx="3">
                        <c:v>150</c:v>
                      </c:pt>
                      <c:pt idx="4">
                        <c:v>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AC8-4F8A-A2EF-EDC0B897FD1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Equity'!$B$34</c15:sqref>
                        </c15:formulaRef>
                      </c:ext>
                    </c:extLst>
                    <c:strCache>
                      <c:ptCount val="1"/>
                      <c:pt idx="0">
                        <c:v>Investments at Purchase cost(Metal)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Equity'!$C$39:$G$39</c15:sqref>
                        </c15:formulaRef>
                      </c:ext>
                    </c:extLst>
                    <c:strCache>
                      <c:ptCount val="5"/>
                      <c:pt idx="0">
                        <c:v>31-Dec-23</c:v>
                      </c:pt>
                      <c:pt idx="1">
                        <c:v>31-Dec-24</c:v>
                      </c:pt>
                      <c:pt idx="2">
                        <c:v>31-Dec-25</c:v>
                      </c:pt>
                      <c:pt idx="3">
                        <c:v>30-Jun-26</c:v>
                      </c:pt>
                      <c:pt idx="4">
                        <c:v>15-Aug-2026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'5. Debt &amp; Equity'!$C$34:$G$34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AC8-4F8A-A2EF-EDC0B897FD1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'5. Debt &amp; Equity'!$B$45</c:f>
              <c:strCache>
                <c:ptCount val="1"/>
                <c:pt idx="0">
                  <c:v>Liquid Assets to Debt ( no of times) Mkt Values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2627834689151801E-2"/>
                  <c:y val="-1.2028364957848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AC8-4F8A-A2EF-EDC0B897FD1A}"/>
                </c:ext>
              </c:extLst>
            </c:dLbl>
            <c:dLbl>
              <c:idx val="1"/>
              <c:layout>
                <c:manualLayout>
                  <c:x val="-5.6163911944715249E-3"/>
                  <c:y val="-0.106874873506854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C8-4F8A-A2EF-EDC0B897FD1A}"/>
                </c:ext>
              </c:extLst>
            </c:dLbl>
            <c:dLbl>
              <c:idx val="2"/>
              <c:layout>
                <c:manualLayout>
                  <c:x val="-1.9673534530662753E-2"/>
                  <c:y val="-1.9819170343285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C8-4F8A-A2EF-EDC0B897FD1A}"/>
                </c:ext>
              </c:extLst>
            </c:dLbl>
            <c:dLbl>
              <c:idx val="3"/>
              <c:layout>
                <c:manualLayout>
                  <c:x val="-1.8342485431300782E-2"/>
                  <c:y val="-2.9836283271324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AC8-4F8A-A2EF-EDC0B897FD1A}"/>
                </c:ext>
              </c:extLst>
            </c:dLbl>
            <c:dLbl>
              <c:idx val="4"/>
              <c:layout>
                <c:manualLayout>
                  <c:x val="-2.1103624761170177E-2"/>
                  <c:y val="-2.8188879530475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AC8-4F8A-A2EF-EDC0B897FD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Debt &amp; Equity'!$C$28:$G$29</c:f>
              <c:strCache>
                <c:ptCount val="5"/>
                <c:pt idx="0">
                  <c:v>31-Dec-23</c:v>
                </c:pt>
                <c:pt idx="1">
                  <c:v>31-Dec-24</c:v>
                </c:pt>
                <c:pt idx="2">
                  <c:v>31-Dec-25</c:v>
                </c:pt>
                <c:pt idx="3">
                  <c:v>30-Jun-26</c:v>
                </c:pt>
                <c:pt idx="4">
                  <c:v>15-Aug-2026</c:v>
                </c:pt>
              </c:strCache>
            </c:strRef>
          </c:cat>
          <c:val>
            <c:numRef>
              <c:f>'5. Debt &amp; Equity'!$C$45:$G$45</c:f>
              <c:numCache>
                <c:formatCode>0.00</c:formatCode>
                <c:ptCount val="5"/>
                <c:pt idx="0">
                  <c:v>1.0466666666666666</c:v>
                </c:pt>
                <c:pt idx="1">
                  <c:v>1.0152380952380953</c:v>
                </c:pt>
                <c:pt idx="2">
                  <c:v>0.85726846424384529</c:v>
                </c:pt>
                <c:pt idx="3">
                  <c:v>0.35139279325325834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C8-4F8A-A2EF-EDC0B897F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1594735"/>
        <c:axId val="874327599"/>
      </c:lineChart>
      <c:catAx>
        <c:axId val="125154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91311"/>
        <c:crosses val="autoZero"/>
        <c:auto val="1"/>
        <c:lblAlgn val="ctr"/>
        <c:lblOffset val="100"/>
        <c:tickLblSkip val="1"/>
        <c:noMultiLvlLbl val="0"/>
      </c:catAx>
      <c:valAx>
        <c:axId val="95879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47535"/>
        <c:crosses val="autoZero"/>
        <c:crossBetween val="between"/>
      </c:valAx>
      <c:valAx>
        <c:axId val="87432759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94735"/>
        <c:crosses val="max"/>
        <c:crossBetween val="between"/>
      </c:valAx>
      <c:catAx>
        <c:axId val="1251594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4327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Long term loans repayment schedule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28964253134971E-2"/>
          <c:y val="0.17176809749497923"/>
          <c:w val="0.93590608072426063"/>
          <c:h val="0.68417266035441615"/>
        </c:manualLayout>
      </c:layout>
      <c:lineChart>
        <c:grouping val="standard"/>
        <c:varyColors val="0"/>
        <c:ser>
          <c:idx val="0"/>
          <c:order val="0"/>
          <c:tx>
            <c:strRef>
              <c:f>'4. Loan'!$B$35:$B$40</c:f>
              <c:strCache>
                <c:ptCount val="6"/>
                <c:pt idx="0">
                  <c:v>Q3-2026 (remaining)</c:v>
                </c:pt>
                <c:pt idx="1">
                  <c:v>Q4-2026</c:v>
                </c:pt>
                <c:pt idx="2">
                  <c:v>Q1-2027</c:v>
                </c:pt>
                <c:pt idx="3">
                  <c:v>Q2-2027</c:v>
                </c:pt>
                <c:pt idx="4">
                  <c:v>Q3-2027</c:v>
                </c:pt>
                <c:pt idx="5">
                  <c:v>Q4-2027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4648737495002897E-2"/>
                  <c:y val="4.5537977817911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4E-4AFF-8368-32EF643DD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Loan'!$B$35:$B$40</c:f>
              <c:strCache>
                <c:ptCount val="6"/>
                <c:pt idx="0">
                  <c:v>Q3-2026 (remaining)</c:v>
                </c:pt>
                <c:pt idx="1">
                  <c:v>Q4-2026</c:v>
                </c:pt>
                <c:pt idx="2">
                  <c:v>Q1-2027</c:v>
                </c:pt>
                <c:pt idx="3">
                  <c:v>Q2-2027</c:v>
                </c:pt>
                <c:pt idx="4">
                  <c:v>Q3-2027</c:v>
                </c:pt>
                <c:pt idx="5">
                  <c:v>Q4-2027</c:v>
                </c:pt>
              </c:strCache>
            </c:strRef>
          </c:cat>
          <c:val>
            <c:numRef>
              <c:f>'4. Loan'!$C$35:$C$40</c:f>
              <c:numCache>
                <c:formatCode>_(* #,##0.00_);_(* \(#,##0.00\);_(* "-"??_);_(@_)</c:formatCode>
                <c:ptCount val="6"/>
                <c:pt idx="0">
                  <c:v>1.8482821609016655</c:v>
                </c:pt>
                <c:pt idx="1">
                  <c:v>4.6277571609016661</c:v>
                </c:pt>
                <c:pt idx="2">
                  <c:v>4.3667821609016659</c:v>
                </c:pt>
                <c:pt idx="3">
                  <c:v>4.6277571609016661</c:v>
                </c:pt>
                <c:pt idx="4">
                  <c:v>5.3519673460868562</c:v>
                </c:pt>
                <c:pt idx="5">
                  <c:v>5.6129423460868564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E-4AFF-8368-32EF643DD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394239"/>
        <c:axId val="487387519"/>
      </c:lineChart>
      <c:catAx>
        <c:axId val="48739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7519"/>
        <c:crosses val="autoZero"/>
        <c:auto val="0"/>
        <c:lblAlgn val="ctr"/>
        <c:lblOffset val="100"/>
        <c:noMultiLvlLbl val="0"/>
      </c:catAx>
      <c:valAx>
        <c:axId val="487387519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9423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Bank wise Fund</a:t>
            </a:r>
            <a:r>
              <a:rPr lang="en-US" sz="1000" baseline="0"/>
              <a:t> Position in </a:t>
            </a:r>
          </a:p>
          <a:p>
            <a:pPr>
              <a:defRPr sz="1000"/>
            </a:pPr>
            <a:r>
              <a:rPr lang="en-US" sz="1000" baseline="0"/>
              <a:t>QAR Currency (Total QAR 7 mn)</a:t>
            </a:r>
            <a:endParaRPr lang="en-US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895498462569765E-2"/>
          <c:y val="0.38102174623202534"/>
          <c:w val="0.89820900307486051"/>
          <c:h val="0.4643513351703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 Funds position'!$B$91:$B$95</c:f>
              <c:strCache>
                <c:ptCount val="5"/>
                <c:pt idx="0">
                  <c:v>Doha</c:v>
                </c:pt>
                <c:pt idx="1">
                  <c:v>Dukhan</c:v>
                </c:pt>
                <c:pt idx="2">
                  <c:v>MAR</c:v>
                </c:pt>
                <c:pt idx="3">
                  <c:v>Mashreq</c:v>
                </c:pt>
                <c:pt idx="4">
                  <c:v>QIB</c:v>
                </c:pt>
              </c:strCache>
            </c:strRef>
          </c:tx>
          <c:invertIfNegative val="0"/>
          <c:dLbls>
            <c:spPr>
              <a:solidFill>
                <a:schemeClr val="accent3"/>
              </a:solidFill>
              <a:ln w="25400" cap="flat" cmpd="sng" algn="ctr">
                <a:solidFill>
                  <a:schemeClr val="accent3">
                    <a:shade val="50000"/>
                  </a:schemeClr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'1. Funds position'!$C$91:$C$95</c:f>
              <c:numCache>
                <c:formatCode>_(* #,##0.00_);_(* \(#,##0.00\);_(* "-"??_);_(@_)</c:formatCode>
                <c:ptCount val="5"/>
                <c:pt idx="0">
                  <c:v>2.8777490000000001</c:v>
                </c:pt>
                <c:pt idx="1">
                  <c:v>1.07799227</c:v>
                </c:pt>
                <c:pt idx="2">
                  <c:v>0.68684599999999996</c:v>
                </c:pt>
                <c:pt idx="3">
                  <c:v>0.68391914700000001</c:v>
                </c:pt>
                <c:pt idx="4">
                  <c:v>3.4556999999999997E-2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54-47B7-9A23-523B81C565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7159040"/>
        <c:axId val="77160832"/>
      </c:barChart>
      <c:catAx>
        <c:axId val="77159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7160832"/>
        <c:crosses val="autoZero"/>
        <c:auto val="1"/>
        <c:lblAlgn val="ctr"/>
        <c:lblOffset val="100"/>
        <c:noMultiLvlLbl val="0"/>
      </c:catAx>
      <c:valAx>
        <c:axId val="77160832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one"/>
        <c:crossAx val="771590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95565350703528E-2"/>
          <c:y val="5.8660303308496177E-2"/>
          <c:w val="0.87570245089262788"/>
          <c:h val="0.809712448830689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 Cash flow'!$F$9:$F$11</c:f>
              <c:strCache>
                <c:ptCount val="3"/>
                <c:pt idx="0">
                  <c:v> Surplus </c:v>
                </c:pt>
                <c:pt idx="1">
                  <c:v> Deficit </c:v>
                </c:pt>
                <c:pt idx="2">
                  <c:v> Deficit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477-4B61-B9D3-19A3A5C218C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477-4B61-B9D3-19A3A5C218CF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477-4B61-B9D3-19A3A5C218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 Cash flow'!$B$9:$B$11</c:f>
              <c:strCache>
                <c:ptCount val="3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</c:strCache>
            </c:strRef>
          </c:cat>
          <c:val>
            <c:numRef>
              <c:f>'2. Cash flow'!$E$9:$E$11</c:f>
              <c:numCache>
                <c:formatCode>_(* #,##0_);_(* \(#,##0\);_(* "-"??_);_(@_)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77-4B61-B9D3-19A3A5C218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3293312"/>
        <c:axId val="83294848"/>
      </c:barChart>
      <c:catAx>
        <c:axId val="83293312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4848"/>
        <c:crosses val="autoZero"/>
        <c:auto val="1"/>
        <c:lblAlgn val="ctr"/>
        <c:lblOffset val="100"/>
        <c:noMultiLvlLbl val="0"/>
      </c:catAx>
      <c:valAx>
        <c:axId val="83294848"/>
        <c:scaling>
          <c:orientation val="minMax"/>
          <c:max val="9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3312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76688141255069"/>
          <c:y val="0.19143180522889455"/>
          <c:w val="0.52915021985888122"/>
          <c:h val="0.65584802128296893"/>
        </c:manualLayout>
      </c:layout>
      <c:pieChart>
        <c:varyColors val="1"/>
        <c:ser>
          <c:idx val="1"/>
          <c:order val="1"/>
          <c:tx>
            <c:strRef>
              <c:f>'3. Working capital'!$D$104</c:f>
              <c:strCache>
                <c:ptCount val="1"/>
                <c:pt idx="0">
                  <c:v>Murabaha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6F-4629-AA2B-7E7FC4D6B2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6F-4629-AA2B-7E7FC4D6B2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6F-4629-AA2B-7E7FC4D6B252}"/>
              </c:ext>
            </c:extLst>
          </c:dPt>
          <c:dLbls>
            <c:dLbl>
              <c:idx val="0"/>
              <c:layout>
                <c:manualLayout>
                  <c:x val="-0.13694379581862612"/>
                  <c:y val="0.1657159730033745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6F-4629-AA2B-7E7FC4D6B252}"/>
                </c:ext>
              </c:extLst>
            </c:dLbl>
            <c:dLbl>
              <c:idx val="1"/>
              <c:layout>
                <c:manualLayout>
                  <c:x val="0.18670236220472441"/>
                  <c:y val="-0.1477305961754781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6F-4629-AA2B-7E7FC4D6B252}"/>
                </c:ext>
              </c:extLst>
            </c:dLbl>
            <c:dLbl>
              <c:idx val="2"/>
              <c:layout>
                <c:manualLayout>
                  <c:x val="-0.19693119739342932"/>
                  <c:y val="5.485995500562428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6F-4629-AA2B-7E7FC4D6B2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 Working capital'!$B$105:$B$108</c15:sqref>
                  </c15:fullRef>
                </c:ext>
              </c:extLst>
              <c:f>'3. Working capital'!$B$105:$B$107</c:f>
              <c:strCache>
                <c:ptCount val="3"/>
                <c:pt idx="0">
                  <c:v>Qatar</c:v>
                </c:pt>
                <c:pt idx="1">
                  <c:v>Dubai</c:v>
                </c:pt>
                <c:pt idx="2">
                  <c:v>Switzerland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 Working capital'!$D$105:$D$108</c15:sqref>
                  </c15:fullRef>
                </c:ext>
              </c:extLst>
              <c:f>'3. Working capital'!$D$105:$D$107</c:f>
              <c:numCache>
                <c:formatCode>0</c:formatCode>
                <c:ptCount val="3"/>
                <c:pt idx="0">
                  <c:v>12</c:v>
                </c:pt>
                <c:pt idx="1">
                  <c:v>70</c:v>
                </c:pt>
                <c:pt idx="2">
                  <c:v>15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A76F-4629-AA2B-7E7FC4D6B2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'3. Working capital'!$C$104</c15:sqref>
                        </c15:formulaRef>
                      </c:ext>
                    </c:extLst>
                    <c:strCache>
                      <c:ptCount val="1"/>
                      <c:pt idx="0">
                        <c:v>LC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A76F-4629-AA2B-7E7FC4D6B25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A76F-4629-AA2B-7E7FC4D6B25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A76F-4629-AA2B-7E7FC4D6B25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'3. Working capital'!$B$105:$B$108</c15:sqref>
                        </c15:fullRef>
                        <c15:formulaRef>
                          <c15:sqref>'3. Working capital'!$B$105:$B$107</c15:sqref>
                        </c15:formulaRef>
                      </c:ext>
                    </c:extLst>
                    <c:strCache>
                      <c:ptCount val="3"/>
                      <c:pt idx="0">
                        <c:v>Qatar</c:v>
                      </c:pt>
                      <c:pt idx="1">
                        <c:v>Dubai</c:v>
                      </c:pt>
                      <c:pt idx="2">
                        <c:v>Switzerland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'3. Working capital'!$C$105:$C$108</c15:sqref>
                        </c15:fullRef>
                        <c15:formulaRef>
                          <c15:sqref>'3. Working capital'!$C$105:$C$107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115.00004336500001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D-A76F-4629-AA2B-7E7FC4D6B252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'3. Working capital'!$E$104</c15:sqref>
                        </c15:formulaRef>
                      </c:ext>
                    </c:extLst>
                    <c:strCache>
                      <c:ptCount val="1"/>
                      <c:pt idx="0">
                        <c:v>B&amp;G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A76F-4629-AA2B-7E7FC4D6B25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76F-4629-AA2B-7E7FC4D6B25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76F-4629-AA2B-7E7FC4D6B25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'3. Working capital'!$B$105:$B$108</c15:sqref>
                        </c15:fullRef>
                        <c15:formulaRef>
                          <c15:sqref>'3. Working capital'!$B$105:$B$107</c15:sqref>
                        </c15:formulaRef>
                      </c:ext>
                    </c:extLst>
                    <c:strCache>
                      <c:ptCount val="3"/>
                      <c:pt idx="0">
                        <c:v>Qatar</c:v>
                      </c:pt>
                      <c:pt idx="1">
                        <c:v>Dubai</c:v>
                      </c:pt>
                      <c:pt idx="2">
                        <c:v>Switzerland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'3. Working capital'!$E$105:$E$108</c15:sqref>
                        </c15:fullRef>
                        <c15:formulaRef>
                          <c15:sqref>'3. Working capital'!$E$105:$E$107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4-A76F-4629-AA2B-7E7FC4D6B25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28774075126587"/>
          <c:y val="0.1847653543307087"/>
          <c:w val="0.52915021985888122"/>
          <c:h val="0.65584802128296893"/>
        </c:manualLayout>
      </c:layout>
      <c:pieChart>
        <c:varyColors val="1"/>
        <c:ser>
          <c:idx val="0"/>
          <c:order val="0"/>
          <c:tx>
            <c:strRef>
              <c:f>'3. Working capital'!$C$104</c:f>
              <c:strCache>
                <c:ptCount val="1"/>
                <c:pt idx="0">
                  <c:v>LC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E2-476C-9663-FD58422909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E2-476C-9663-FD58422909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E2-476C-9663-FD5842290939}"/>
              </c:ext>
            </c:extLst>
          </c:dPt>
          <c:dLbls>
            <c:dLbl>
              <c:idx val="0"/>
              <c:layout>
                <c:manualLayout>
                  <c:x val="-1.3016246386923154E-2"/>
                  <c:y val="-0.2309866445329690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E2-476C-9663-FD584229093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E2-476C-9663-FD58422909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E2-476C-9663-FD5842290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 Working capital'!$B$105:$B$108</c15:sqref>
                  </c15:fullRef>
                </c:ext>
              </c:extLst>
              <c:f>'3. Working capital'!$B$105:$B$107</c:f>
              <c:strCache>
                <c:ptCount val="3"/>
                <c:pt idx="0">
                  <c:v>Qatar</c:v>
                </c:pt>
                <c:pt idx="1">
                  <c:v>Dubai</c:v>
                </c:pt>
                <c:pt idx="2">
                  <c:v>Switzerland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 Working capital'!$C$105:$C$108</c15:sqref>
                  </c15:fullRef>
                </c:ext>
              </c:extLst>
              <c:f>'3. Working capital'!$C$105:$C$107</c:f>
              <c:numCache>
                <c:formatCode>0</c:formatCode>
                <c:ptCount val="3"/>
                <c:pt idx="0">
                  <c:v>115.00004336500001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F5E2-476C-9663-FD584229093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'3. Working capital'!$D$104</c15:sqref>
                        </c15:formulaRef>
                      </c:ext>
                    </c:extLst>
                    <c:strCache>
                      <c:ptCount val="1"/>
                      <c:pt idx="0">
                        <c:v>Murabaha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F5E2-476C-9663-FD584229093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F5E2-476C-9663-FD584229093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F5E2-476C-9663-FD584229093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'3. Working capital'!$B$105:$B$108</c15:sqref>
                        </c15:fullRef>
                        <c15:formulaRef>
                          <c15:sqref>'3. Working capital'!$B$105:$B$107</c15:sqref>
                        </c15:formulaRef>
                      </c:ext>
                    </c:extLst>
                    <c:strCache>
                      <c:ptCount val="3"/>
                      <c:pt idx="0">
                        <c:v>Qatar</c:v>
                      </c:pt>
                      <c:pt idx="1">
                        <c:v>Dubai</c:v>
                      </c:pt>
                      <c:pt idx="2">
                        <c:v>Switzerland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'3. Working capital'!$D$105:$D$108</c15:sqref>
                        </c15:fullRef>
                        <c15:formulaRef>
                          <c15:sqref>'3. Working capital'!$D$105:$D$107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12</c:v>
                      </c:pt>
                      <c:pt idx="1">
                        <c:v>70</c:v>
                      </c:pt>
                      <c:pt idx="2">
                        <c:v>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D-F5E2-476C-9663-FD584229093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'3. Working capital'!$E$104</c15:sqref>
                        </c15:formulaRef>
                      </c:ext>
                    </c:extLst>
                    <c:strCache>
                      <c:ptCount val="1"/>
                      <c:pt idx="0">
                        <c:v>B&amp;G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F5E2-476C-9663-FD584229093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5E2-476C-9663-FD584229093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5E2-476C-9663-FD584229093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'3. Working capital'!$B$105:$B$108</c15:sqref>
                        </c15:fullRef>
                        <c15:formulaRef>
                          <c15:sqref>'3. Working capital'!$B$105:$B$107</c15:sqref>
                        </c15:formulaRef>
                      </c:ext>
                    </c:extLst>
                    <c:strCache>
                      <c:ptCount val="3"/>
                      <c:pt idx="0">
                        <c:v>Qatar</c:v>
                      </c:pt>
                      <c:pt idx="1">
                        <c:v>Dubai</c:v>
                      </c:pt>
                      <c:pt idx="2">
                        <c:v>Switzerland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'3. Working capital'!$E$105:$E$108</c15:sqref>
                        </c15:fullRef>
                        <c15:formulaRef>
                          <c15:sqref>'3. Working capital'!$E$105:$E$107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4-F5E2-476C-9663-FD584229093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76688141255069"/>
          <c:y val="0.19143180522889455"/>
          <c:w val="0.52915021985888122"/>
          <c:h val="0.65584802128296893"/>
        </c:manualLayout>
      </c:layout>
      <c:pieChart>
        <c:varyColors val="1"/>
        <c:ser>
          <c:idx val="2"/>
          <c:order val="2"/>
          <c:tx>
            <c:strRef>
              <c:f>'3. Working capital'!$E$104</c:f>
              <c:strCache>
                <c:ptCount val="1"/>
                <c:pt idx="0">
                  <c:v>B&amp;G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A2-46B2-BA19-4B613F4F11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A2-46B2-BA19-4B613F4F11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A2-46B2-BA19-4B613F4F117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A2-46B2-BA19-4B613F4F11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A2-46B2-BA19-4B613F4F11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 Working capital'!$B$105:$B$108</c15:sqref>
                  </c15:fullRef>
                </c:ext>
              </c:extLst>
              <c:f>'3. Working capital'!$B$105:$B$107</c:f>
              <c:strCache>
                <c:ptCount val="3"/>
                <c:pt idx="0">
                  <c:v>Qatar</c:v>
                </c:pt>
                <c:pt idx="1">
                  <c:v>Dubai</c:v>
                </c:pt>
                <c:pt idx="2">
                  <c:v>Switzerland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 Working capital'!$E$105:$E$108</c15:sqref>
                  </c15:fullRef>
                </c:ext>
              </c:extLst>
              <c:f>'3. Working capital'!$E$105:$E$107</c:f>
              <c:numCache>
                <c:formatCode>0</c:formatCode>
                <c:ptCount val="3"/>
                <c:pt idx="0">
                  <c:v>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83A2-46B2-BA19-4B613F4F11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'3. Working capital'!$C$104</c15:sqref>
                        </c15:formulaRef>
                      </c:ext>
                    </c:extLst>
                    <c:strCache>
                      <c:ptCount val="1"/>
                      <c:pt idx="0">
                        <c:v>LC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83A2-46B2-BA19-4B613F4F117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83A2-46B2-BA19-4B613F4F117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83A2-46B2-BA19-4B613F4F117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'3. Working capital'!$B$105:$B$108</c15:sqref>
                        </c15:fullRef>
                        <c15:formulaRef>
                          <c15:sqref>'3. Working capital'!$B$105:$B$107</c15:sqref>
                        </c15:formulaRef>
                      </c:ext>
                    </c:extLst>
                    <c:strCache>
                      <c:ptCount val="3"/>
                      <c:pt idx="0">
                        <c:v>Qatar</c:v>
                      </c:pt>
                      <c:pt idx="1">
                        <c:v>Dubai</c:v>
                      </c:pt>
                      <c:pt idx="2">
                        <c:v>Switzerland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'3. Working capital'!$C$105:$C$108</c15:sqref>
                        </c15:fullRef>
                        <c15:formulaRef>
                          <c15:sqref>'3. Working capital'!$C$105:$C$107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115.00004336500001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D-83A2-46B2-BA19-4B613F4F1179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'3. Working capital'!$D$104</c15:sqref>
                        </c15:formulaRef>
                      </c:ext>
                    </c:extLst>
                    <c:strCache>
                      <c:ptCount val="1"/>
                      <c:pt idx="0">
                        <c:v>Murabaha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83A2-46B2-BA19-4B613F4F117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3A2-46B2-BA19-4B613F4F117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3A2-46B2-BA19-4B613F4F117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'3. Working capital'!$B$105:$B$108</c15:sqref>
                        </c15:fullRef>
                        <c15:formulaRef>
                          <c15:sqref>'3. Working capital'!$B$105:$B$107</c15:sqref>
                        </c15:formulaRef>
                      </c:ext>
                    </c:extLst>
                    <c:strCache>
                      <c:ptCount val="3"/>
                      <c:pt idx="0">
                        <c:v>Qatar</c:v>
                      </c:pt>
                      <c:pt idx="1">
                        <c:v>Dubai</c:v>
                      </c:pt>
                      <c:pt idx="2">
                        <c:v>Switzerland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'3. Working capital'!$D$105:$D$108</c15:sqref>
                        </c15:fullRef>
                        <c15:formulaRef>
                          <c15:sqref>'3. Working capital'!$D$105:$D$107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12</c:v>
                      </c:pt>
                      <c:pt idx="1">
                        <c:v>70</c:v>
                      </c:pt>
                      <c:pt idx="2">
                        <c:v>15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4-83A2-46B2-BA19-4B613F4F117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5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Qatar Islamic (QIB) </a:t>
            </a:r>
            <a:endParaRPr lang="en-US" sz="105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4.3380577427821744E-4"/>
          <c:y val="4.243896120334515E-2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accent1"/>
          </a:solidFill>
          <a:prstDash val="solid"/>
        </a:ln>
        <a:effectLst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1837216706785861"/>
          <c:w val="0.97269944662959107"/>
          <c:h val="0.4682754143896767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'3. Working capital'!$C$32</c:f>
              <c:strCache>
                <c:ptCount val="1"/>
                <c:pt idx="0">
                  <c:v>Sanctioned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capital'!$B$54:$B$57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capital'!$C$33:$C$36</c:f>
              <c:numCache>
                <c:formatCode>_(* #,##0_);_(* \(#,##0\);_(* "-"??_);_(@_)</c:formatCode>
                <c:ptCount val="4"/>
                <c:pt idx="0">
                  <c:v>50</c:v>
                </c:pt>
                <c:pt idx="1">
                  <c:v>40</c:v>
                </c:pt>
                <c:pt idx="2">
                  <c:v>10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3-4E36-9F07-59933BC8EE81}"/>
            </c:ext>
          </c:extLst>
        </c:ser>
        <c:ser>
          <c:idx val="1"/>
          <c:order val="1"/>
          <c:tx>
            <c:strRef>
              <c:f>'3. Working capital'!$D$32</c:f>
              <c:strCache>
                <c:ptCount val="1"/>
                <c:pt idx="0">
                  <c:v>Utilised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5046401717665024E-2"/>
                  <c:y val="-5.1587281155659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83-4E36-9F07-59933BC8EE81}"/>
                </c:ext>
              </c:extLst>
            </c:dLbl>
            <c:dLbl>
              <c:idx val="1"/>
              <c:layout>
                <c:manualLayout>
                  <c:x val="2.9135593134884175E-2"/>
                  <c:y val="-3.5827600504901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83-4E36-9F07-59933BC8EE81}"/>
                </c:ext>
              </c:extLst>
            </c:dLbl>
            <c:dLbl>
              <c:idx val="2"/>
              <c:layout>
                <c:manualLayout>
                  <c:x val="2.9620561990373932E-2"/>
                  <c:y val="-1.2404540303171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83-4E36-9F07-59933BC8EE81}"/>
                </c:ext>
              </c:extLst>
            </c:dLbl>
            <c:dLbl>
              <c:idx val="3"/>
              <c:layout>
                <c:manualLayout>
                  <c:x val="6.9172759160527481E-2"/>
                  <c:y val="-7.44879830941611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83-4E36-9F07-59933BC8EE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 Working capital'!$B$54:$B$57</c:f>
              <c:strCache>
                <c:ptCount val="4"/>
                <c:pt idx="0">
                  <c:v>LC</c:v>
                </c:pt>
                <c:pt idx="1">
                  <c:v>Murabaha</c:v>
                </c:pt>
                <c:pt idx="2">
                  <c:v>Bonds &amp; Guarantees</c:v>
                </c:pt>
                <c:pt idx="3">
                  <c:v>Total Limit</c:v>
                </c:pt>
              </c:strCache>
            </c:strRef>
          </c:cat>
          <c:val>
            <c:numRef>
              <c:f>'3. Working capital'!$D$33:$D$36</c:f>
              <c:numCache>
                <c:formatCode>_(* #,##0.00_);_(* \(#,##0.00\);_(* "-"??_);_(@_)</c:formatCode>
                <c:ptCount val="4"/>
                <c:pt idx="0" formatCode="_(* #,##0_);_(* \(#,##0\);_(* &quot;-&quot;??_);_(@_)">
                  <c:v>4.3365000003948809E-5</c:v>
                </c:pt>
                <c:pt idx="1">
                  <c:v>0</c:v>
                </c:pt>
                <c:pt idx="2" formatCode="0">
                  <c:v>3.7155860000000001</c:v>
                </c:pt>
                <c:pt idx="3" formatCode="0">
                  <c:v>3.7156293650000038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83-4E36-9F07-59933BC8EE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404672"/>
        <c:axId val="81406208"/>
        <c:axId val="0"/>
      </c:bar3DChart>
      <c:catAx>
        <c:axId val="8140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81406208"/>
        <c:crosses val="autoZero"/>
        <c:auto val="1"/>
        <c:lblAlgn val="ctr"/>
        <c:lblOffset val="100"/>
        <c:noMultiLvlLbl val="0"/>
      </c:catAx>
      <c:valAx>
        <c:axId val="81406208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one"/>
        <c:crossAx val="81404672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48240755905511812"/>
          <c:y val="4.2799169804937287E-3"/>
          <c:w val="0.5104029396325459"/>
          <c:h val="0.16426189969497051"/>
        </c:manualLayout>
      </c:layout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Loan movement'!$B$31</c:f>
              <c:strCache>
                <c:ptCount val="1"/>
                <c:pt idx="0">
                  <c:v>Dukhan Bank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Loan movement'!$C$30:$E$30</c:f>
              <c:strCache>
                <c:ptCount val="3"/>
                <c:pt idx="0">
                  <c:v>STL</c:v>
                </c:pt>
                <c:pt idx="1">
                  <c:v>LTL</c:v>
                </c:pt>
                <c:pt idx="2">
                  <c:v>Total Loan</c:v>
                </c:pt>
              </c:strCache>
            </c:strRef>
          </c:cat>
          <c:val>
            <c:numRef>
              <c:f>'6. Loan movement'!$C$31:$E$31</c:f>
              <c:numCache>
                <c:formatCode>_(* #,##0_);_(* \(#,##0\);_(* "-"??_);_(@_)</c:formatCode>
                <c:ptCount val="3"/>
                <c:pt idx="0">
                  <c:v>10</c:v>
                </c:pt>
                <c:pt idx="1">
                  <c:v>217</c:v>
                </c:pt>
                <c:pt idx="2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A-4238-9CC8-BBB58F732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4860032"/>
        <c:axId val="1407291952"/>
      </c:barChart>
      <c:catAx>
        <c:axId val="21248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91952"/>
        <c:crosses val="autoZero"/>
        <c:auto val="1"/>
        <c:lblAlgn val="ctr"/>
        <c:lblOffset val="100"/>
        <c:noMultiLvlLbl val="0"/>
      </c:catAx>
      <c:valAx>
        <c:axId val="14072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Loan movement'!$B$32</c:f>
              <c:strCache>
                <c:ptCount val="1"/>
                <c:pt idx="0">
                  <c:v>Mashreq Al Islami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Loan movement'!$C$30:$E$30</c:f>
              <c:strCache>
                <c:ptCount val="3"/>
                <c:pt idx="0">
                  <c:v>STL</c:v>
                </c:pt>
                <c:pt idx="1">
                  <c:v>LTL</c:v>
                </c:pt>
                <c:pt idx="2">
                  <c:v>Total Loan</c:v>
                </c:pt>
              </c:strCache>
            </c:strRef>
          </c:cat>
          <c:val>
            <c:numRef>
              <c:f>'6. Loan movement'!$C$32:$E$32</c:f>
              <c:numCache>
                <c:formatCode>_(* #,##0_);_(* \(#,##0\);_(* "-"??_);_(@_)</c:formatCode>
                <c:ptCount val="3"/>
                <c:pt idx="0">
                  <c:v>70</c:v>
                </c:pt>
                <c:pt idx="1">
                  <c:v>217</c:v>
                </c:pt>
                <c:pt idx="2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1-460E-89E7-99D1CE2D6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4860032"/>
        <c:axId val="1407291952"/>
      </c:barChart>
      <c:catAx>
        <c:axId val="21248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91952"/>
        <c:crosses val="autoZero"/>
        <c:auto val="1"/>
        <c:lblAlgn val="ctr"/>
        <c:lblOffset val="100"/>
        <c:noMultiLvlLbl val="0"/>
      </c:catAx>
      <c:valAx>
        <c:axId val="14072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Loan movement'!$B$33</c:f>
              <c:strCache>
                <c:ptCount val="1"/>
                <c:pt idx="0">
                  <c:v>UBS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Loan movement'!$C$30:$E$30</c:f>
              <c:strCache>
                <c:ptCount val="3"/>
                <c:pt idx="0">
                  <c:v>STL</c:v>
                </c:pt>
                <c:pt idx="1">
                  <c:v>LTL</c:v>
                </c:pt>
                <c:pt idx="2">
                  <c:v>Total Loan</c:v>
                </c:pt>
              </c:strCache>
            </c:strRef>
          </c:cat>
          <c:val>
            <c:numRef>
              <c:f>'6. Loan movement'!$C$33:$E$33</c:f>
              <c:numCache>
                <c:formatCode>_(* #,##0_);_(* \(#,##0\);_(* "-"??_);_(@_)</c:formatCode>
                <c:ptCount val="3"/>
                <c:pt idx="0">
                  <c:v>25</c:v>
                </c:pt>
                <c:pt idx="1">
                  <c:v>60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3-4CCC-BE84-BF1C91986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4860032"/>
        <c:axId val="1407291952"/>
      </c:barChart>
      <c:catAx>
        <c:axId val="21248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91952"/>
        <c:crosses val="autoZero"/>
        <c:auto val="1"/>
        <c:lblAlgn val="ctr"/>
        <c:lblOffset val="100"/>
        <c:noMultiLvlLbl val="0"/>
      </c:catAx>
      <c:valAx>
        <c:axId val="14072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Loan movement'!$B$35</c:f>
              <c:strCache>
                <c:ptCount val="1"/>
                <c:pt idx="0">
                  <c:v>Total Loan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Loan movement'!$C$30:$E$30</c:f>
              <c:strCache>
                <c:ptCount val="3"/>
                <c:pt idx="0">
                  <c:v>STL</c:v>
                </c:pt>
                <c:pt idx="1">
                  <c:v>LTL</c:v>
                </c:pt>
                <c:pt idx="2">
                  <c:v>Total Loan</c:v>
                </c:pt>
              </c:strCache>
            </c:strRef>
          </c:cat>
          <c:val>
            <c:numRef>
              <c:f>'6. Loan movement'!$C$35:$E$35</c:f>
              <c:numCache>
                <c:formatCode>_(* #,##0_);_(* \(#,##0\);_(* "-"??_);_(@_)</c:formatCode>
                <c:ptCount val="3"/>
                <c:pt idx="0">
                  <c:v>115</c:v>
                </c:pt>
                <c:pt idx="1">
                  <c:v>494</c:v>
                </c:pt>
                <c:pt idx="2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2-4403-A640-E6ACED8AB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4860032"/>
        <c:axId val="1407291952"/>
      </c:barChart>
      <c:catAx>
        <c:axId val="21248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91952"/>
        <c:crosses val="autoZero"/>
        <c:auto val="1"/>
        <c:lblAlgn val="ctr"/>
        <c:lblOffset val="100"/>
        <c:noMultiLvlLbl val="0"/>
      </c:catAx>
      <c:valAx>
        <c:axId val="14072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</a:t>
            </a:r>
            <a:r>
              <a:rPr lang="en-US" baseline="0"/>
              <a:t> Rayan</a:t>
            </a:r>
            <a:endParaRPr lang="en-US"/>
          </a:p>
        </c:rich>
      </c:tx>
      <c:layout>
        <c:manualLayout>
          <c:xMode val="edge"/>
          <c:yMode val="edge"/>
          <c:x val="0.39106891701828411"/>
          <c:y val="4.1753653444676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Loan movement'!$B$34:$E$34</c:f>
              <c:strCache>
                <c:ptCount val="4"/>
                <c:pt idx="0">
                  <c:v>Al Rayan</c:v>
                </c:pt>
                <c:pt idx="1">
                  <c:v> 10 </c:v>
                </c:pt>
                <c:pt idx="2">
                  <c:v> -   </c:v>
                </c:pt>
                <c:pt idx="3">
                  <c:v> 10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Loan movement'!$C$30:$E$30</c:f>
              <c:strCache>
                <c:ptCount val="3"/>
                <c:pt idx="0">
                  <c:v>STL</c:v>
                </c:pt>
                <c:pt idx="1">
                  <c:v>LTL</c:v>
                </c:pt>
                <c:pt idx="2">
                  <c:v>Total Loan</c:v>
                </c:pt>
              </c:strCache>
            </c:strRef>
          </c:cat>
          <c:val>
            <c:numRef>
              <c:f>'6. Loan movement'!$C$34:$E$34</c:f>
              <c:numCache>
                <c:formatCode>_(* #,##0_);_(* \(#,##0\);_(* "-"??_);_(@_)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9-4A7D-8BA1-166254981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4860032"/>
        <c:axId val="1407291952"/>
      </c:barChart>
      <c:catAx>
        <c:axId val="21248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91952"/>
        <c:crosses val="autoZero"/>
        <c:auto val="1"/>
        <c:lblAlgn val="ctr"/>
        <c:lblOffset val="100"/>
        <c:noMultiLvlLbl val="0"/>
      </c:catAx>
      <c:valAx>
        <c:axId val="14072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QDB - WC Financing for Raw Materials</a:t>
            </a:r>
          </a:p>
          <a:p>
            <a:pPr>
              <a:defRPr/>
            </a:pPr>
            <a:r>
              <a:rPr lang="en-US"/>
              <a:t>(in QAR Mn)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Loan movement'!$C$56</c:f>
              <c:strCache>
                <c:ptCount val="1"/>
                <c:pt idx="0">
                  <c:v>Approved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 Loan movement'!$B$57:$B$61</c15:sqref>
                  </c15:fullRef>
                </c:ext>
              </c:extLst>
              <c:f>'6. Loan movement'!$B$58:$B$61</c:f>
              <c:strCache>
                <c:ptCount val="4"/>
                <c:pt idx="0">
                  <c:v>QFM</c:v>
                </c:pt>
                <c:pt idx="1">
                  <c:v>QFI</c:v>
                </c:pt>
                <c:pt idx="2">
                  <c:v>USB</c:v>
                </c:pt>
                <c:pt idx="3">
                  <c:v>Total amount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Loan movement'!$C$57:$C$61</c15:sqref>
                  </c15:fullRef>
                </c:ext>
              </c:extLst>
              <c:f>'6. Loan movement'!$C$58:$C$61</c:f>
              <c:numCache>
                <c:formatCode>_(* #,##0_);_(* \(#,##0\);_(* "-"??_);_(@_)</c:formatCode>
                <c:ptCount val="4"/>
                <c:pt idx="0">
                  <c:v>20</c:v>
                </c:pt>
                <c:pt idx="1">
                  <c:v>10</c:v>
                </c:pt>
                <c:pt idx="2">
                  <c:v>10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7-4355-BC83-6DBCCDA42976}"/>
            </c:ext>
          </c:extLst>
        </c:ser>
        <c:ser>
          <c:idx val="1"/>
          <c:order val="1"/>
          <c:tx>
            <c:strRef>
              <c:f>'6. Loan movement'!$D$56</c:f>
              <c:strCache>
                <c:ptCount val="1"/>
                <c:pt idx="0">
                  <c:v>Utilized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'6. Loan movement'!$B$57:$B$61</c15:sqref>
                  </c15:fullRef>
                </c:ext>
              </c:extLst>
              <c:f>'6. Loan movement'!$B$58:$B$61</c:f>
              <c:strCache>
                <c:ptCount val="4"/>
                <c:pt idx="0">
                  <c:v>QFM</c:v>
                </c:pt>
                <c:pt idx="1">
                  <c:v>QFI</c:v>
                </c:pt>
                <c:pt idx="2">
                  <c:v>USB</c:v>
                </c:pt>
                <c:pt idx="3">
                  <c:v>Total amount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Loan movement'!$D$57:$D$61</c15:sqref>
                  </c15:fullRef>
                </c:ext>
              </c:extLst>
              <c:f>'6. Loan movement'!$D$58:$D$61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7-4355-BC83-6DBCCDA42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2147807"/>
        <c:axId val="721004879"/>
      </c:barChart>
      <c:catAx>
        <c:axId val="9821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04879"/>
        <c:crosses val="autoZero"/>
        <c:auto val="1"/>
        <c:lblAlgn val="ctr"/>
        <c:lblOffset val="100"/>
        <c:noMultiLvlLbl val="0"/>
      </c:catAx>
      <c:valAx>
        <c:axId val="72100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4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QDB - WC Financing for OPEX</a:t>
            </a:r>
          </a:p>
          <a:p>
            <a:pPr>
              <a:defRPr/>
            </a:pPr>
            <a:r>
              <a:rPr lang="en-US"/>
              <a:t>(in QAR Mn)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Loan movement'!$C$64</c:f>
              <c:strCache>
                <c:ptCount val="1"/>
                <c:pt idx="0">
                  <c:v>Applied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5"/>
              <c:layout>
                <c:manualLayout>
                  <c:x val="0"/>
                  <c:y val="1.7618593259081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C1-4564-93FB-5EAAA95C1F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 Loan movement'!$B$65:$B$71</c15:sqref>
                  </c15:fullRef>
                </c:ext>
              </c:extLst>
              <c:f>'6. Loan movement'!$B$66:$B$71</c:f>
              <c:strCache>
                <c:ptCount val="6"/>
                <c:pt idx="0">
                  <c:v>QFM</c:v>
                </c:pt>
                <c:pt idx="1">
                  <c:v>QFI</c:v>
                </c:pt>
                <c:pt idx="2">
                  <c:v>USB</c:v>
                </c:pt>
                <c:pt idx="3">
                  <c:v>UNB</c:v>
                </c:pt>
                <c:pt idx="4">
                  <c:v>ASP</c:v>
                </c:pt>
                <c:pt idx="5">
                  <c:v>Total amount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Loan movement'!$C$65:$C$71</c15:sqref>
                  </c15:fullRef>
                </c:ext>
              </c:extLst>
              <c:f>'6. Loan movement'!$C$66:$C$71</c:f>
              <c:numCache>
                <c:formatCode>_(* #,##0.00_);_(* \(#,##0.00\);_(* "-"??_);_(@_)</c:formatCode>
                <c:ptCount val="6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C1-4564-93FB-5EAAA95C1F97}"/>
            </c:ext>
          </c:extLst>
        </c:ser>
        <c:ser>
          <c:idx val="1"/>
          <c:order val="1"/>
          <c:tx>
            <c:strRef>
              <c:f>'6. Loan movement'!$D$64</c:f>
              <c:strCache>
                <c:ptCount val="1"/>
                <c:pt idx="0">
                  <c:v>Approved amount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'6. Loan movement'!$B$65:$B$71</c15:sqref>
                  </c15:fullRef>
                </c:ext>
              </c:extLst>
              <c:f>'6. Loan movement'!$B$66:$B$71</c:f>
              <c:strCache>
                <c:ptCount val="6"/>
                <c:pt idx="0">
                  <c:v>QFM</c:v>
                </c:pt>
                <c:pt idx="1">
                  <c:v>QFI</c:v>
                </c:pt>
                <c:pt idx="2">
                  <c:v>USB</c:v>
                </c:pt>
                <c:pt idx="3">
                  <c:v>UNB</c:v>
                </c:pt>
                <c:pt idx="4">
                  <c:v>ASP</c:v>
                </c:pt>
                <c:pt idx="5">
                  <c:v>Total amount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 Loan movement'!$D$65:$D$71</c15:sqref>
                  </c15:fullRef>
                </c:ext>
              </c:extLst>
              <c:f>'6. Loan movement'!$D$66:$D$71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C1-4564-93FB-5EAAA95C1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6238463"/>
        <c:axId val="701774511"/>
      </c:barChart>
      <c:catAx>
        <c:axId val="55623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774511"/>
        <c:crosses val="autoZero"/>
        <c:auto val="1"/>
        <c:lblAlgn val="ctr"/>
        <c:lblOffset val="100"/>
        <c:noMultiLvlLbl val="0"/>
      </c:catAx>
      <c:valAx>
        <c:axId val="7017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3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image" Target="../media/image1.emf"/><Relationship Id="rId26" Type="http://schemas.openxmlformats.org/officeDocument/2006/relationships/image" Target="../media/image5.emf"/><Relationship Id="rId21" Type="http://schemas.openxmlformats.org/officeDocument/2006/relationships/chart" Target="../charts/chart20.xml"/><Relationship Id="rId34" Type="http://schemas.openxmlformats.org/officeDocument/2006/relationships/chart" Target="../charts/chart2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4.emf"/><Relationship Id="rId33" Type="http://schemas.openxmlformats.org/officeDocument/2006/relationships/chart" Target="../charts/chart23.xml"/><Relationship Id="rId38" Type="http://schemas.openxmlformats.org/officeDocument/2006/relationships/image" Target="../media/image12.emf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19.xml"/><Relationship Id="rId29" Type="http://schemas.openxmlformats.org/officeDocument/2006/relationships/image" Target="../media/image8.emf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3.emf"/><Relationship Id="rId32" Type="http://schemas.openxmlformats.org/officeDocument/2006/relationships/image" Target="../media/image10.emf"/><Relationship Id="rId37" Type="http://schemas.openxmlformats.org/officeDocument/2006/relationships/chart" Target="../charts/chart26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image" Target="../media/image2.emf"/><Relationship Id="rId28" Type="http://schemas.openxmlformats.org/officeDocument/2006/relationships/image" Target="../media/image7.emf"/><Relationship Id="rId36" Type="http://schemas.openxmlformats.org/officeDocument/2006/relationships/image" Target="../media/image11.emf"/><Relationship Id="rId10" Type="http://schemas.openxmlformats.org/officeDocument/2006/relationships/chart" Target="../charts/chart10.xml"/><Relationship Id="rId19" Type="http://schemas.openxmlformats.org/officeDocument/2006/relationships/chart" Target="../charts/chart18.xml"/><Relationship Id="rId31" Type="http://schemas.openxmlformats.org/officeDocument/2006/relationships/chart" Target="../charts/chart2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1.xml"/><Relationship Id="rId27" Type="http://schemas.openxmlformats.org/officeDocument/2006/relationships/image" Target="../media/image6.emf"/><Relationship Id="rId30" Type="http://schemas.openxmlformats.org/officeDocument/2006/relationships/image" Target="../media/image9.emf"/><Relationship Id="rId35" Type="http://schemas.openxmlformats.org/officeDocument/2006/relationships/chart" Target="../charts/chart2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12" Type="http://schemas.openxmlformats.org/officeDocument/2006/relationships/image" Target="../media/image24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11" Type="http://schemas.openxmlformats.org/officeDocument/2006/relationships/image" Target="../media/image23.emf"/><Relationship Id="rId5" Type="http://schemas.openxmlformats.org/officeDocument/2006/relationships/image" Target="../media/image17.emf"/><Relationship Id="rId10" Type="http://schemas.openxmlformats.org/officeDocument/2006/relationships/image" Target="../media/image22.emf"/><Relationship Id="rId4" Type="http://schemas.openxmlformats.org/officeDocument/2006/relationships/image" Target="../media/image16.emf"/><Relationship Id="rId9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77602</xdr:colOff>
      <xdr:row>8</xdr:row>
      <xdr:rowOff>216353</xdr:rowOff>
    </xdr:from>
    <xdr:to>
      <xdr:col>7</xdr:col>
      <xdr:colOff>172065</xdr:colOff>
      <xdr:row>22</xdr:row>
      <xdr:rowOff>311355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5034F-638B-40C3-9674-B46F6708C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196646</xdr:colOff>
      <xdr:row>15</xdr:row>
      <xdr:rowOff>196646</xdr:rowOff>
    </xdr:from>
    <xdr:to>
      <xdr:col>11</xdr:col>
      <xdr:colOff>522942</xdr:colOff>
      <xdr:row>21</xdr:row>
      <xdr:rowOff>360516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52C23F-B9DA-4FF8-8A50-CB4A04D06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11206</xdr:colOff>
      <xdr:row>49</xdr:row>
      <xdr:rowOff>19051</xdr:rowOff>
    </xdr:from>
    <xdr:to>
      <xdr:col>4</xdr:col>
      <xdr:colOff>582706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2CB6D-1F1D-44A9-814C-41176635E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9524</xdr:colOff>
      <xdr:row>41</xdr:row>
      <xdr:rowOff>19050</xdr:rowOff>
    </xdr:from>
    <xdr:to>
      <xdr:col>12</xdr:col>
      <xdr:colOff>590549</xdr:colOff>
      <xdr:row>48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788DA4-6D9B-4002-9F8C-4EEBD4B64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11205</xdr:colOff>
      <xdr:row>41</xdr:row>
      <xdr:rowOff>9528</xdr:rowOff>
    </xdr:from>
    <xdr:to>
      <xdr:col>8</xdr:col>
      <xdr:colOff>590549</xdr:colOff>
      <xdr:row>48</xdr:row>
      <xdr:rowOff>190501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1905C6-9FBE-419A-AF9F-F8A78323F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</xdr:colOff>
      <xdr:row>49</xdr:row>
      <xdr:rowOff>21290</xdr:rowOff>
    </xdr:from>
    <xdr:to>
      <xdr:col>8</xdr:col>
      <xdr:colOff>581025</xdr:colOff>
      <xdr:row>55</xdr:row>
      <xdr:rowOff>657224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3E9B92-F8C5-4118-B5EC-310E7DBF0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25126</xdr:colOff>
      <xdr:row>25</xdr:row>
      <xdr:rowOff>310872</xdr:rowOff>
    </xdr:from>
    <xdr:to>
      <xdr:col>7</xdr:col>
      <xdr:colOff>32763</xdr:colOff>
      <xdr:row>38</xdr:row>
      <xdr:rowOff>458838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0981C0-0694-4606-B5D7-95D70A7B0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58080</xdr:colOff>
      <xdr:row>209</xdr:row>
      <xdr:rowOff>0</xdr:rowOff>
    </xdr:from>
    <xdr:to>
      <xdr:col>7</xdr:col>
      <xdr:colOff>569177</xdr:colOff>
      <xdr:row>209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D375C0-6D72-4933-B2AB-586ED9F95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24582</xdr:colOff>
      <xdr:row>137</xdr:row>
      <xdr:rowOff>15329</xdr:rowOff>
    </xdr:from>
    <xdr:to>
      <xdr:col>8</xdr:col>
      <xdr:colOff>204839</xdr:colOff>
      <xdr:row>146</xdr:row>
      <xdr:rowOff>172064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D574BD0-5B00-493F-B5E0-93F6ECE9A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141230</xdr:colOff>
      <xdr:row>137</xdr:row>
      <xdr:rowOff>34321</xdr:rowOff>
    </xdr:from>
    <xdr:to>
      <xdr:col>4</xdr:col>
      <xdr:colOff>547688</xdr:colOff>
      <xdr:row>137</xdr:row>
      <xdr:rowOff>333599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7889D9-C5E2-47F9-989C-0F2945C7DF4C}"/>
            </a:ext>
          </a:extLst>
        </xdr:cNvPr>
        <xdr:cNvSpPr txBox="1"/>
      </xdr:nvSpPr>
      <xdr:spPr>
        <a:xfrm>
          <a:off x="293630" y="31933546"/>
          <a:ext cx="2235258" cy="299278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Net Debt as on</a:t>
          </a:r>
          <a:r>
            <a:rPr lang="en-US" sz="1100" b="1" baseline="0"/>
            <a:t> 15th August 2026</a:t>
          </a:r>
          <a:endParaRPr lang="en-US" sz="1100" b="1"/>
        </a:p>
      </xdr:txBody>
    </xdr:sp>
    <xdr:clientData/>
  </xdr:twoCellAnchor>
  <xdr:twoCellAnchor>
    <xdr:from>
      <xdr:col>1</xdr:col>
      <xdr:colOff>81311</xdr:colOff>
      <xdr:row>209</xdr:row>
      <xdr:rowOff>0</xdr:rowOff>
    </xdr:from>
    <xdr:to>
      <xdr:col>7</xdr:col>
      <xdr:colOff>569177</xdr:colOff>
      <xdr:row>209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45B3816-9E00-483E-9D7C-6E71CAC75DD1}"/>
            </a:ext>
          </a:extLst>
        </xdr:cNvPr>
        <xdr:cNvSpPr txBox="1"/>
      </xdr:nvSpPr>
      <xdr:spPr>
        <a:xfrm>
          <a:off x="233711" y="42614850"/>
          <a:ext cx="4307391" cy="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Investment</a:t>
          </a:r>
          <a:r>
            <a:rPr lang="en-US" sz="1600" b="1" baseline="0"/>
            <a:t> in Shares - Country Wise </a:t>
          </a:r>
          <a:endParaRPr lang="en-US" sz="1600" b="1"/>
        </a:p>
      </xdr:txBody>
    </xdr:sp>
    <xdr:clientData/>
  </xdr:twoCellAnchor>
  <xdr:twoCellAnchor>
    <xdr:from>
      <xdr:col>1</xdr:col>
      <xdr:colOff>33618</xdr:colOff>
      <xdr:row>59</xdr:row>
      <xdr:rowOff>44824</xdr:rowOff>
    </xdr:from>
    <xdr:to>
      <xdr:col>4</xdr:col>
      <xdr:colOff>533400</xdr:colOff>
      <xdr:row>61</xdr:row>
      <xdr:rowOff>462966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F9E657-322B-4B69-95B5-0075C0993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542925</xdr:colOff>
      <xdr:row>59</xdr:row>
      <xdr:rowOff>50987</xdr:rowOff>
    </xdr:from>
    <xdr:to>
      <xdr:col>8</xdr:col>
      <xdr:colOff>561975</xdr:colOff>
      <xdr:row>61</xdr:row>
      <xdr:rowOff>465768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9705E4C-D11A-4AB4-89CF-591875360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44824</xdr:colOff>
      <xdr:row>157</xdr:row>
      <xdr:rowOff>33619</xdr:rowOff>
    </xdr:from>
    <xdr:to>
      <xdr:col>7</xdr:col>
      <xdr:colOff>582705</xdr:colOff>
      <xdr:row>172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45726C4-8854-4EB5-A643-79480236C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1</xdr:col>
      <xdr:colOff>13183</xdr:colOff>
      <xdr:row>76</xdr:row>
      <xdr:rowOff>16512</xdr:rowOff>
    </xdr:from>
    <xdr:ext cx="231467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C455430-F48E-40AE-AC62-4D0565AFB5B1}"/>
            </a:ext>
          </a:extLst>
        </xdr:cNvPr>
        <xdr:cNvSpPr txBox="1"/>
      </xdr:nvSpPr>
      <xdr:spPr>
        <a:xfrm>
          <a:off x="165583" y="19685637"/>
          <a:ext cx="23146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 b="1"/>
        </a:p>
      </xdr:txBody>
    </xdr:sp>
    <xdr:clientData/>
  </xdr:oneCellAnchor>
  <xdr:twoCellAnchor>
    <xdr:from>
      <xdr:col>1</xdr:col>
      <xdr:colOff>10966</xdr:colOff>
      <xdr:row>178</xdr:row>
      <xdr:rowOff>17753</xdr:rowOff>
    </xdr:from>
    <xdr:to>
      <xdr:col>8</xdr:col>
      <xdr:colOff>184354</xdr:colOff>
      <xdr:row>188</xdr:row>
      <xdr:rowOff>182106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AA813C-CA49-403F-B7E3-DDA3BBF50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132785</xdr:colOff>
      <xdr:row>76</xdr:row>
      <xdr:rowOff>35505</xdr:rowOff>
    </xdr:from>
    <xdr:to>
      <xdr:col>8</xdr:col>
      <xdr:colOff>92860</xdr:colOff>
      <xdr:row>85</xdr:row>
      <xdr:rowOff>240343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A0F6144-6A7A-47F8-88BB-0C050B0C7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579119</xdr:colOff>
      <xdr:row>76</xdr:row>
      <xdr:rowOff>20485</xdr:rowOff>
    </xdr:from>
    <xdr:to>
      <xdr:col>15</xdr:col>
      <xdr:colOff>716934</xdr:colOff>
      <xdr:row>85</xdr:row>
      <xdr:rowOff>174113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F886B02-B0D1-4833-8564-327D8734D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49</xdr:row>
      <xdr:rowOff>10242</xdr:rowOff>
    </xdr:from>
    <xdr:to>
      <xdr:col>13</xdr:col>
      <xdr:colOff>0</xdr:colOff>
      <xdr:row>55</xdr:row>
      <xdr:rowOff>579501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E17297-2D8A-4378-8427-7E35A6DC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584509</xdr:colOff>
      <xdr:row>59</xdr:row>
      <xdr:rowOff>30726</xdr:rowOff>
    </xdr:from>
    <xdr:to>
      <xdr:col>12</xdr:col>
      <xdr:colOff>522338</xdr:colOff>
      <xdr:row>61</xdr:row>
      <xdr:rowOff>445507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4EB19FF-973F-4BA3-8B6B-75EA64221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573551</xdr:colOff>
          <xdr:row>59</xdr:row>
          <xdr:rowOff>51209</xdr:rowOff>
        </xdr:from>
        <xdr:to>
          <xdr:col>15</xdr:col>
          <xdr:colOff>714375</xdr:colOff>
          <xdr:row>61</xdr:row>
          <xdr:rowOff>84546</xdr:rowOff>
        </xdr:to>
        <mc:AlternateContent>
          <mc:Choice Requires="a14">
            <xdr:pic>
              <xdr:nvPicPr>
                <xdr:cNvPr id="23" name="Picture 22">
                  <a:extLst>
                    <a:ext uri="{FF2B5EF4-FFF2-40B4-BE49-F238E27FC236}">
                      <a16:creationId xmlns:a16="http://schemas.microsoft.com/office/drawing/2014/main" id="{9BB485F8-6A3E-4157-986B-AE7C92F93D29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'3. Working capital'!$B$110:$E$115" spid="_x0000_s58434"/>
                    </a:ext>
                  </a:extLst>
                </xdr:cNvPicPr>
              </xdr:nvPicPr>
              <xdr:blipFill>
                <a:blip xmlns:r="http://schemas.openxmlformats.org/officeDocument/2006/relationships" r:embed="rId18"/>
                <a:srcRect/>
                <a:stretch>
                  <a:fillRect/>
                </a:stretch>
              </xdr:blipFill>
              <xdr:spPr bwMode="auto">
                <a:xfrm>
                  <a:off x="7566489" y="15005459"/>
                  <a:ext cx="2014074" cy="120015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twoCellAnchor>
    <xdr:from>
      <xdr:col>1</xdr:col>
      <xdr:colOff>65262</xdr:colOff>
      <xdr:row>103</xdr:row>
      <xdr:rowOff>233659</xdr:rowOff>
    </xdr:from>
    <xdr:to>
      <xdr:col>12</xdr:col>
      <xdr:colOff>589649</xdr:colOff>
      <xdr:row>111</xdr:row>
      <xdr:rowOff>942258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4CF0F85-4962-4AD1-A1EB-0B2ADA393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226687</xdr:colOff>
      <xdr:row>178</xdr:row>
      <xdr:rowOff>76473</xdr:rowOff>
    </xdr:from>
    <xdr:to>
      <xdr:col>15</xdr:col>
      <xdr:colOff>712838</xdr:colOff>
      <xdr:row>188</xdr:row>
      <xdr:rowOff>163872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B86F25D-6209-4278-B850-0D60E2D48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24581</xdr:colOff>
      <xdr:row>112</xdr:row>
      <xdr:rowOff>24581</xdr:rowOff>
    </xdr:from>
    <xdr:to>
      <xdr:col>15</xdr:col>
      <xdr:colOff>729225</xdr:colOff>
      <xdr:row>120</xdr:row>
      <xdr:rowOff>172064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EA0CB59-18D9-4E05-975B-044307BDA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262195</xdr:colOff>
      <xdr:row>8</xdr:row>
      <xdr:rowOff>213030</xdr:rowOff>
    </xdr:from>
    <xdr:to>
      <xdr:col>11</xdr:col>
      <xdr:colOff>589938</xdr:colOff>
      <xdr:row>15</xdr:row>
      <xdr:rowOff>114710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1DED7E8-57BE-4E72-9A37-53413F657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229419</xdr:colOff>
      <xdr:row>21</xdr:row>
      <xdr:rowOff>98323</xdr:rowOff>
    </xdr:from>
    <xdr:to>
      <xdr:col>11</xdr:col>
      <xdr:colOff>606322</xdr:colOff>
      <xdr:row>22</xdr:row>
      <xdr:rowOff>333375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6653969-2D0A-42D9-9715-17C943CA199A}"/>
            </a:ext>
          </a:extLst>
        </xdr:cNvPr>
        <xdr:cNvSpPr/>
      </xdr:nvSpPr>
      <xdr:spPr>
        <a:xfrm>
          <a:off x="4210869" y="5422798"/>
          <a:ext cx="2767678" cy="63510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USD 1.62 Mn will be utilized for foreign supplier payments. (This section will be manually updated)</a:t>
          </a:r>
          <a:endParaRPr lang="en-US">
            <a:effectLst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304</xdr:row>
          <xdr:rowOff>133350</xdr:rowOff>
        </xdr:from>
        <xdr:to>
          <xdr:col>7</xdr:col>
          <xdr:colOff>246063</xdr:colOff>
          <xdr:row>319</xdr:row>
          <xdr:rowOff>190500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FF3B664D-3934-45C0-84E6-7E41240C479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6. Loan movement'!$B$42:$E$52" spid="_x0000_s58435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227013" y="45226288"/>
              <a:ext cx="4003675" cy="2914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296</xdr:row>
          <xdr:rowOff>38100</xdr:rowOff>
        </xdr:from>
        <xdr:to>
          <xdr:col>7</xdr:col>
          <xdr:colOff>214314</xdr:colOff>
          <xdr:row>301</xdr:row>
          <xdr:rowOff>125413</xdr:rowOff>
        </xdr:to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EEBFB8E5-C78E-49FA-8C97-1A6E1055D0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6. Loan movement'!$B$29:$E$35" spid="_x0000_s58436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176213" y="43305413"/>
              <a:ext cx="4022726" cy="1333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257176</xdr:colOff>
          <xdr:row>137</xdr:row>
          <xdr:rowOff>38100</xdr:rowOff>
        </xdr:from>
        <xdr:to>
          <xdr:col>15</xdr:col>
          <xdr:colOff>619126</xdr:colOff>
          <xdr:row>146</xdr:row>
          <xdr:rowOff>166688</xdr:rowOff>
        </xdr:to>
        <xdr:pic>
          <xdr:nvPicPr>
            <xdr:cNvPr id="33" name="Picture 50">
              <a:extLst>
                <a:ext uri="{FF2B5EF4-FFF2-40B4-BE49-F238E27FC236}">
                  <a16:creationId xmlns:a16="http://schemas.microsoft.com/office/drawing/2014/main" id="{564E739D-4918-4201-8B38-04541BAD2C5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5. Debt &amp; Equity'!$B$21:$G$26" spid="_x0000_s58437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4805364" y="31930975"/>
              <a:ext cx="4679950" cy="22240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43</xdr:row>
          <xdr:rowOff>114300</xdr:rowOff>
        </xdr:from>
        <xdr:to>
          <xdr:col>15</xdr:col>
          <xdr:colOff>714375</xdr:colOff>
          <xdr:row>50</xdr:row>
          <xdr:rowOff>134937</xdr:rowOff>
        </xdr:to>
        <xdr:pic>
          <xdr:nvPicPr>
            <xdr:cNvPr id="35" name="Picture 49">
              <a:extLst>
                <a:ext uri="{FF2B5EF4-FFF2-40B4-BE49-F238E27FC236}">
                  <a16:creationId xmlns:a16="http://schemas.microsoft.com/office/drawing/2014/main" id="{F5567D61-BCF2-4818-B3BD-E88E2CF1A79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3. Working capital'!$B$73:$E$80" spid="_x0000_s58438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7642225" y="11210925"/>
              <a:ext cx="1938338" cy="1600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28576</xdr:colOff>
          <xdr:row>189</xdr:row>
          <xdr:rowOff>171451</xdr:rowOff>
        </xdr:from>
        <xdr:to>
          <xdr:col>8</xdr:col>
          <xdr:colOff>222251</xdr:colOff>
          <xdr:row>201</xdr:row>
          <xdr:rowOff>142876</xdr:rowOff>
        </xdr:to>
        <xdr:pic>
          <xdr:nvPicPr>
            <xdr:cNvPr id="36" name="Picture 13">
              <a:extLst>
                <a:ext uri="{FF2B5EF4-FFF2-40B4-BE49-F238E27FC236}">
                  <a16:creationId xmlns:a16="http://schemas.microsoft.com/office/drawing/2014/main" id="{DD2E0C77-56DD-41A4-8EEE-D8E6E0CFCD5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5. Debt &amp; Equity'!$B$28:$G$35" spid="_x0000_s58439"/>
                </a:ext>
              </a:extLst>
            </xdr:cNvPicPr>
          </xdr:nvPicPr>
          <xdr:blipFill>
            <a:blip xmlns:r="http://schemas.openxmlformats.org/officeDocument/2006/relationships" r:embed="rId27"/>
            <a:srcRect/>
            <a:stretch>
              <a:fillRect/>
            </a:stretch>
          </xdr:blipFill>
          <xdr:spPr bwMode="auto">
            <a:xfrm>
              <a:off x="179389" y="37184014"/>
              <a:ext cx="4591050" cy="226536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247651</xdr:colOff>
          <xdr:row>189</xdr:row>
          <xdr:rowOff>152401</xdr:rowOff>
        </xdr:from>
        <xdr:to>
          <xdr:col>15</xdr:col>
          <xdr:colOff>698500</xdr:colOff>
          <xdr:row>201</xdr:row>
          <xdr:rowOff>158750</xdr:rowOff>
        </xdr:to>
        <xdr:pic>
          <xdr:nvPicPr>
            <xdr:cNvPr id="37" name="Picture 14">
              <a:extLst>
                <a:ext uri="{FF2B5EF4-FFF2-40B4-BE49-F238E27FC236}">
                  <a16:creationId xmlns:a16="http://schemas.microsoft.com/office/drawing/2014/main" id="{E65990B6-1494-4DCC-825E-B4C6B98561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5. Debt &amp; Equity'!$B$38:$G$45" spid="_x0000_s58440"/>
                </a:ext>
              </a:extLst>
            </xdr:cNvPicPr>
          </xdr:nvPicPr>
          <xdr:blipFill>
            <a:blip xmlns:r="http://schemas.openxmlformats.org/officeDocument/2006/relationships" r:embed="rId28"/>
            <a:srcRect/>
            <a:stretch>
              <a:fillRect/>
            </a:stretch>
          </xdr:blipFill>
          <xdr:spPr bwMode="auto">
            <a:xfrm>
              <a:off x="4795839" y="37164964"/>
              <a:ext cx="4768849" cy="230028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206375</xdr:colOff>
          <xdr:row>296</xdr:row>
          <xdr:rowOff>63501</xdr:rowOff>
        </xdr:from>
        <xdr:to>
          <xdr:col>15</xdr:col>
          <xdr:colOff>690562</xdr:colOff>
          <xdr:row>303</xdr:row>
          <xdr:rowOff>142876</xdr:rowOff>
        </xdr:to>
        <xdr:pic>
          <xdr:nvPicPr>
            <xdr:cNvPr id="38" name="Picture 17">
              <a:extLst>
                <a:ext uri="{FF2B5EF4-FFF2-40B4-BE49-F238E27FC236}">
                  <a16:creationId xmlns:a16="http://schemas.microsoft.com/office/drawing/2014/main" id="{8D0BAF56-BCFB-4A53-A0FB-AD5358A8ED7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6. Loan movement'!$F$29:$Q$38" spid="_x0000_s58441"/>
                </a:ext>
              </a:extLst>
            </xdr:cNvPicPr>
          </xdr:nvPicPr>
          <xdr:blipFill>
            <a:blip xmlns:r="http://schemas.openxmlformats.org/officeDocument/2006/relationships" r:embed="rId29"/>
            <a:srcRect/>
            <a:stretch>
              <a:fillRect/>
            </a:stretch>
          </xdr:blipFill>
          <xdr:spPr bwMode="auto">
            <a:xfrm>
              <a:off x="4191000" y="43410189"/>
              <a:ext cx="5365750" cy="170656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261940</xdr:colOff>
          <xdr:row>304</xdr:row>
          <xdr:rowOff>103187</xdr:rowOff>
        </xdr:from>
        <xdr:to>
          <xdr:col>15</xdr:col>
          <xdr:colOff>666751</xdr:colOff>
          <xdr:row>319</xdr:row>
          <xdr:rowOff>150369</xdr:rowOff>
        </xdr:to>
        <xdr:pic>
          <xdr:nvPicPr>
            <xdr:cNvPr id="39" name="Picture 28">
              <a:extLst>
                <a:ext uri="{FF2B5EF4-FFF2-40B4-BE49-F238E27FC236}">
                  <a16:creationId xmlns:a16="http://schemas.microsoft.com/office/drawing/2014/main" id="{5FBA2B85-E83D-4595-A77C-0A137E78AD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6. Loan movement'!$F$54:$S$73" spid="_x0000_s58442"/>
                </a:ext>
              </a:extLst>
            </xdr:cNvPicPr>
          </xdr:nvPicPr>
          <xdr:blipFill>
            <a:blip xmlns:r="http://schemas.openxmlformats.org/officeDocument/2006/relationships" r:embed="rId30"/>
            <a:srcRect/>
            <a:stretch>
              <a:fillRect/>
            </a:stretch>
          </xdr:blipFill>
          <xdr:spPr bwMode="auto">
            <a:xfrm>
              <a:off x="4246565" y="45196125"/>
              <a:ext cx="5286374" cy="290468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103187</xdr:colOff>
      <xdr:row>26</xdr:row>
      <xdr:rowOff>285750</xdr:rowOff>
    </xdr:from>
    <xdr:to>
      <xdr:col>12</xdr:col>
      <xdr:colOff>542159</xdr:colOff>
      <xdr:row>35</xdr:row>
      <xdr:rowOff>15875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D307EAB-8318-47FD-824D-32BDDD15C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42545</xdr:colOff>
          <xdr:row>121</xdr:row>
          <xdr:rowOff>60960</xdr:rowOff>
        </xdr:from>
        <xdr:to>
          <xdr:col>15</xdr:col>
          <xdr:colOff>682625</xdr:colOff>
          <xdr:row>134</xdr:row>
          <xdr:rowOff>111760</xdr:rowOff>
        </xdr:to>
        <xdr:pic>
          <xdr:nvPicPr>
            <xdr:cNvPr id="41" name="Picture 40">
              <a:extLst>
                <a:ext uri="{FF2B5EF4-FFF2-40B4-BE49-F238E27FC236}">
                  <a16:creationId xmlns:a16="http://schemas.microsoft.com/office/drawing/2014/main" id="{79C4F52B-A07B-4E18-8211-3336DCA1A5D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4. Loan'!$B$19:$U$29" spid="_x0000_s58443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193358" y="28112085"/>
              <a:ext cx="9355455" cy="24479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63500</xdr:colOff>
      <xdr:row>62</xdr:row>
      <xdr:rowOff>63501</xdr:rowOff>
    </xdr:from>
    <xdr:to>
      <xdr:col>4</xdr:col>
      <xdr:colOff>531813</xdr:colOff>
      <xdr:row>72</xdr:row>
      <xdr:rowOff>63501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4C3278A-A65D-427A-8D20-BBF39124C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</xdr:col>
      <xdr:colOff>587375</xdr:colOff>
      <xdr:row>62</xdr:row>
      <xdr:rowOff>79375</xdr:rowOff>
    </xdr:from>
    <xdr:to>
      <xdr:col>8</xdr:col>
      <xdr:colOff>531812</xdr:colOff>
      <xdr:row>72</xdr:row>
      <xdr:rowOff>55563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880CF635-6897-43C3-B0FD-52AF33D06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</xdr:col>
      <xdr:colOff>603249</xdr:colOff>
      <xdr:row>62</xdr:row>
      <xdr:rowOff>95251</xdr:rowOff>
    </xdr:from>
    <xdr:to>
      <xdr:col>12</xdr:col>
      <xdr:colOff>523874</xdr:colOff>
      <xdr:row>72</xdr:row>
      <xdr:rowOff>79375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B3C45A5D-BEEB-4D42-980C-CA310F46A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79375</xdr:colOff>
          <xdr:row>202</xdr:row>
          <xdr:rowOff>63501</xdr:rowOff>
        </xdr:from>
        <xdr:to>
          <xdr:col>15</xdr:col>
          <xdr:colOff>682626</xdr:colOff>
          <xdr:row>294</xdr:row>
          <xdr:rowOff>7939</xdr:rowOff>
        </xdr:to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7A68263A-D3D0-4C96-AAAF-70168C6065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6. Loan movement'!$B$4:$O$26" spid="_x0000_s58444"/>
                </a:ext>
              </a:extLst>
            </xdr:cNvPicPr>
          </xdr:nvPicPr>
          <xdr:blipFill>
            <a:blip xmlns:r="http://schemas.openxmlformats.org/officeDocument/2006/relationships" r:embed="rId36"/>
            <a:srcRect/>
            <a:stretch>
              <a:fillRect/>
            </a:stretch>
          </xdr:blipFill>
          <xdr:spPr bwMode="auto">
            <a:xfrm>
              <a:off x="230188" y="39568439"/>
              <a:ext cx="9318626" cy="3429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31750</xdr:colOff>
      <xdr:row>41</xdr:row>
      <xdr:rowOff>55563</xdr:rowOff>
    </xdr:from>
    <xdr:to>
      <xdr:col>4</xdr:col>
      <xdr:colOff>579438</xdr:colOff>
      <xdr:row>48</xdr:row>
      <xdr:rowOff>166687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56E0534-393E-4602-AEFE-FA9847B45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47624</xdr:colOff>
          <xdr:row>8</xdr:row>
          <xdr:rowOff>38100</xdr:rowOff>
        </xdr:from>
        <xdr:to>
          <xdr:col>15</xdr:col>
          <xdr:colOff>647699</xdr:colOff>
          <xdr:row>18</xdr:row>
          <xdr:rowOff>123825</xdr:rowOff>
        </xdr:to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BF9E6B74-CE69-7F73-C071-64A0AB730F5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1. Funds position'!$B$111:$C$121" spid="_x0000_s58445"/>
                </a:ext>
              </a:extLst>
            </xdr:cNvPicPr>
          </xdr:nvPicPr>
          <xdr:blipFill>
            <a:blip xmlns:r="http://schemas.openxmlformats.org/officeDocument/2006/relationships" r:embed="rId38"/>
            <a:srcRect/>
            <a:stretch>
              <a:fillRect/>
            </a:stretch>
          </xdr:blipFill>
          <xdr:spPr bwMode="auto">
            <a:xfrm>
              <a:off x="7029449" y="1581150"/>
              <a:ext cx="2466975" cy="2762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0.01966</cdr:x>
      <cdr:y>0.25892</cdr:y>
    </cdr:from>
    <cdr:to>
      <cdr:x>0.93539</cdr:x>
      <cdr:y>0.38839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1295" y="673708"/>
          <a:ext cx="3786767" cy="3368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0.71955</cdr:x>
      <cdr:y>0.18101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910986" cy="3633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Bank</a:t>
          </a:r>
          <a:r>
            <a:rPr lang="en-US" sz="1100" b="1" baseline="0"/>
            <a:t> wise Short term loan Outstanding 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0.71955</cdr:x>
      <cdr:y>0.18101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0DC5FF7-7EF3-9DE4-E9EA-A9F8830875AD}"/>
            </a:ext>
          </a:extLst>
        </cdr:cNvPr>
        <cdr:cNvSpPr txBox="1"/>
      </cdr:nvSpPr>
      <cdr:spPr>
        <a:xfrm xmlns:a="http://schemas.openxmlformats.org/drawingml/2006/main">
          <a:off x="0" y="0"/>
          <a:ext cx="2910986" cy="3633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Bank</a:t>
          </a:r>
          <a:r>
            <a:rPr lang="en-US" sz="1100" b="1" baseline="0"/>
            <a:t> wise Short term loan Outstanding 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0.99857</cdr:x>
      <cdr:y>0.13435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9504516" cy="300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 b="1"/>
            <a:t>Bank</a:t>
          </a:r>
          <a:r>
            <a:rPr lang="en-US" sz="1400" b="1" baseline="0"/>
            <a:t> wise Long term loan current Outstanding (in QAR millions) 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27</xdr:row>
      <xdr:rowOff>156210</xdr:rowOff>
    </xdr:from>
    <xdr:to>
      <xdr:col>7</xdr:col>
      <xdr:colOff>342900</xdr:colOff>
      <xdr:row>37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C7122-B75F-4C96-8240-44281F77E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27</xdr:row>
      <xdr:rowOff>175260</xdr:rowOff>
    </xdr:from>
    <xdr:to>
      <xdr:col>9</xdr:col>
      <xdr:colOff>457200</xdr:colOff>
      <xdr:row>37</xdr:row>
      <xdr:rowOff>220980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BCD128-6ABD-4526-82BB-08E8070D9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480060</xdr:colOff>
      <xdr:row>27</xdr:row>
      <xdr:rowOff>182880</xdr:rowOff>
    </xdr:from>
    <xdr:to>
      <xdr:col>11</xdr:col>
      <xdr:colOff>716280</xdr:colOff>
      <xdr:row>37</xdr:row>
      <xdr:rowOff>228600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9E3556-80F8-4557-B3FB-5910C7D7F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259080</xdr:colOff>
      <xdr:row>27</xdr:row>
      <xdr:rowOff>182880</xdr:rowOff>
    </xdr:from>
    <xdr:to>
      <xdr:col>17</xdr:col>
      <xdr:colOff>181428</xdr:colOff>
      <xdr:row>37</xdr:row>
      <xdr:rowOff>243840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FC914C-58C5-4A6E-8E05-F78846A3A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762000</xdr:colOff>
      <xdr:row>28</xdr:row>
      <xdr:rowOff>0</xdr:rowOff>
    </xdr:from>
    <xdr:to>
      <xdr:col>14</xdr:col>
      <xdr:colOff>213360</xdr:colOff>
      <xdr:row>37</xdr:row>
      <xdr:rowOff>266700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FF04A9-706E-4871-9882-41D271E13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150495</xdr:colOff>
      <xdr:row>54</xdr:row>
      <xdr:rowOff>15240</xdr:rowOff>
    </xdr:from>
    <xdr:to>
      <xdr:col>10</xdr:col>
      <xdr:colOff>529590</xdr:colOff>
      <xdr:row>72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7BEB7B-EFF0-43AC-9373-0652FE058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54</xdr:row>
      <xdr:rowOff>0</xdr:rowOff>
    </xdr:from>
    <xdr:to>
      <xdr:col>18</xdr:col>
      <xdr:colOff>434340</xdr:colOff>
      <xdr:row>72</xdr:row>
      <xdr:rowOff>72390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BC8352-06C7-40F2-A627-BDC788EA1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63246</xdr:colOff>
      <xdr:row>9</xdr:row>
      <xdr:rowOff>311150</xdr:rowOff>
    </xdr:from>
    <xdr:ext cx="6191885" cy="152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6E6FB567-8BFF-4D9F-A3A4-4A608FBB9C54}"/>
            </a:ext>
          </a:extLst>
        </xdr:cNvPr>
        <xdr:cNvSpPr/>
      </xdr:nvSpPr>
      <xdr:spPr>
        <a:xfrm>
          <a:off x="63246" y="3187700"/>
          <a:ext cx="6191885" cy="15240"/>
        </a:xfrm>
        <a:custGeom>
          <a:avLst/>
          <a:gdLst/>
          <a:ahLst/>
          <a:cxnLst/>
          <a:rect l="0" t="0" r="0" b="0"/>
          <a:pathLst>
            <a:path w="6191885" h="15240">
              <a:moveTo>
                <a:pt x="6191885" y="0"/>
              </a:moveTo>
              <a:lnTo>
                <a:pt x="0" y="0"/>
              </a:lnTo>
              <a:lnTo>
                <a:pt x="0" y="15240"/>
              </a:lnTo>
              <a:lnTo>
                <a:pt x="6191885" y="15240"/>
              </a:lnTo>
              <a:lnTo>
                <a:pt x="6191885" y="0"/>
              </a:lnTo>
              <a:close/>
            </a:path>
          </a:pathLst>
        </a:custGeom>
        <a:solidFill>
          <a:srgbClr val="A7A9AC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72389</xdr:colOff>
      <xdr:row>8</xdr:row>
      <xdr:rowOff>350163</xdr:rowOff>
    </xdr:from>
    <xdr:ext cx="6191885" cy="152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0A599DF-D1DE-49A0-A424-C83CE4EB68ED}"/>
            </a:ext>
          </a:extLst>
        </xdr:cNvPr>
        <xdr:cNvSpPr/>
      </xdr:nvSpPr>
      <xdr:spPr>
        <a:xfrm>
          <a:off x="72389" y="2998113"/>
          <a:ext cx="6191885" cy="15240"/>
        </a:xfrm>
        <a:custGeom>
          <a:avLst/>
          <a:gdLst/>
          <a:ahLst/>
          <a:cxnLst/>
          <a:rect l="0" t="0" r="0" b="0"/>
          <a:pathLst>
            <a:path w="6191885" h="15240">
              <a:moveTo>
                <a:pt x="6191885" y="0"/>
              </a:moveTo>
              <a:lnTo>
                <a:pt x="0" y="0"/>
              </a:lnTo>
              <a:lnTo>
                <a:pt x="0" y="15240"/>
              </a:lnTo>
              <a:lnTo>
                <a:pt x="6191885" y="15240"/>
              </a:lnTo>
              <a:lnTo>
                <a:pt x="6191885" y="0"/>
              </a:lnTo>
              <a:close/>
            </a:path>
          </a:pathLst>
        </a:custGeom>
        <a:solidFill>
          <a:srgbClr val="A7A9AC"/>
        </a:solidFill>
      </xdr:spPr>
    </xdr:sp>
    <xdr:clientData/>
  </xdr:oneCellAnchor>
  <xdr:oneCellAnchor>
    <xdr:from>
      <xdr:col>0</xdr:col>
      <xdr:colOff>720090</xdr:colOff>
      <xdr:row>13</xdr:row>
      <xdr:rowOff>0</xdr:rowOff>
    </xdr:from>
    <xdr:ext cx="6191885" cy="762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EFDFA86-684C-4E7A-9A1F-D43C47552913}"/>
            </a:ext>
          </a:extLst>
        </xdr:cNvPr>
        <xdr:cNvSpPr/>
      </xdr:nvSpPr>
      <xdr:spPr>
        <a:xfrm>
          <a:off x="720090" y="3762375"/>
          <a:ext cx="6191885" cy="7620"/>
        </a:xfrm>
        <a:custGeom>
          <a:avLst/>
          <a:gdLst/>
          <a:ahLst/>
          <a:cxnLst/>
          <a:rect l="0" t="0" r="0" b="0"/>
          <a:pathLst>
            <a:path w="6191885" h="7620">
              <a:moveTo>
                <a:pt x="6191885" y="0"/>
              </a:moveTo>
              <a:lnTo>
                <a:pt x="0" y="0"/>
              </a:lnTo>
              <a:lnTo>
                <a:pt x="0" y="7620"/>
              </a:lnTo>
              <a:lnTo>
                <a:pt x="6191885" y="7620"/>
              </a:lnTo>
              <a:lnTo>
                <a:pt x="6191885" y="0"/>
              </a:lnTo>
              <a:close/>
            </a:path>
          </a:pathLst>
        </a:custGeom>
        <a:solidFill>
          <a:srgbClr val="B7B9BB"/>
        </a:solidFill>
      </xdr:spPr>
    </xdr:sp>
    <xdr:clientData/>
  </xdr:oneCellAnchor>
  <xdr:oneCellAnchor>
    <xdr:from>
      <xdr:col>0</xdr:col>
      <xdr:colOff>720090</xdr:colOff>
      <xdr:row>13</xdr:row>
      <xdr:rowOff>0</xdr:rowOff>
    </xdr:from>
    <xdr:ext cx="6191885" cy="762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1F2D78D2-614A-4595-A3EA-E62AEF6CA729}"/>
            </a:ext>
          </a:extLst>
        </xdr:cNvPr>
        <xdr:cNvSpPr/>
      </xdr:nvSpPr>
      <xdr:spPr>
        <a:xfrm>
          <a:off x="720090" y="3762375"/>
          <a:ext cx="6191885" cy="7620"/>
        </a:xfrm>
        <a:custGeom>
          <a:avLst/>
          <a:gdLst/>
          <a:ahLst/>
          <a:cxnLst/>
          <a:rect l="0" t="0" r="0" b="0"/>
          <a:pathLst>
            <a:path w="6191885" h="7620">
              <a:moveTo>
                <a:pt x="6191885" y="0"/>
              </a:moveTo>
              <a:lnTo>
                <a:pt x="0" y="0"/>
              </a:lnTo>
              <a:lnTo>
                <a:pt x="0" y="7620"/>
              </a:lnTo>
              <a:lnTo>
                <a:pt x="6191885" y="7620"/>
              </a:lnTo>
              <a:lnTo>
                <a:pt x="6191885" y="0"/>
              </a:lnTo>
              <a:close/>
            </a:path>
          </a:pathLst>
        </a:custGeom>
        <a:solidFill>
          <a:srgbClr val="B7B9BB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8A807-414F-4D5C-B283-22AC3BE6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F8AF7-BADF-46D1-B86E-453A00C76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C9A7E-7AD3-43F2-86FB-D5E0CF5E7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A69D6-1645-475A-B6FA-9AC0CA016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1095375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EFF2D-ACBE-4350-89B4-E08A42344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6C62E-428C-4A66-9047-5475F902E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1095375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57789-8E05-4CB2-8E8D-FC4572BCA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1095375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FC2AD-9892-4042-9ADB-A5B381E9D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1095375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601F3-2061-4AB7-BA9E-67A430B0D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3A6FA-6A5F-421E-96A9-DBAC145BD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03CAE-3F21-459D-B59F-294BF9D2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0691B-08EC-45AE-954D-0408FEAD3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ABBE6-C7B0-47B2-BD32-CC731B5B2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E307B-1B55-4BF3-A050-834A0DE2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A0322-6139-4015-9EBF-F5C41C05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154C6-0F19-480A-816C-029534757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5740A-B513-42FD-9CA3-864F54CAC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DD9CB-8C0E-4544-9669-FF88F727C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1095375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23595-08E3-4EC0-8072-ECA0D531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C4B7E-7BF1-4EEC-BCE5-B7A6F2B9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A064D-76D7-4298-AD4D-D549880A5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90258-6929-4F0D-8293-8C9AD66F1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1E7B3-D079-4C01-B003-C664D6198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2AB65-AA7F-470E-9FF8-E2B558B8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5B1CC-D919-45D6-982D-7E604B0E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1123950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E4B01-D8ED-4059-A5D0-66CBE5B5F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8BEE4-7CC6-4B67-8846-81C7C4EA4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882FF-BF35-4DD9-A87A-01232F69F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552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76200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5373C-C983-4030-B55E-FD83455B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"/>
          <a:ext cx="36861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ubs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40D7-D0CD-4E67-B337-D8DAC59D5CE1}">
  <sheetPr codeName="Sheet1"/>
  <dimension ref="B1:AX321"/>
  <sheetViews>
    <sheetView showGridLines="0" view="pageBreakPreview" topLeftCell="A46" zoomScaleNormal="120" zoomScaleSheetLayoutView="100" workbookViewId="0">
      <selection activeCell="U20" sqref="U20"/>
    </sheetView>
  </sheetViews>
  <sheetFormatPr defaultRowHeight="14.4" outlineLevelCol="1"/>
  <cols>
    <col min="1" max="1" width="2.33203125" customWidth="1"/>
    <col min="3" max="4" width="9.109375" customWidth="1"/>
    <col min="7" max="7" width="11.6640625" bestFit="1" customWidth="1"/>
    <col min="8" max="8" width="8.44140625" customWidth="1"/>
    <col min="9" max="9" width="9.109375" customWidth="1"/>
    <col min="15" max="15" width="9.6640625" customWidth="1"/>
    <col min="16" max="16" width="10.88671875" customWidth="1"/>
    <col min="17" max="17" width="2" customWidth="1"/>
    <col min="18" max="25" width="14.6640625" customWidth="1"/>
    <col min="26" max="26" width="9.109375" customWidth="1"/>
    <col min="27" max="27" width="18" hidden="1" customWidth="1" outlineLevel="1"/>
    <col min="28" max="28" width="12.109375" hidden="1" customWidth="1" outlineLevel="1"/>
    <col min="29" max="29" width="8.33203125" hidden="1" customWidth="1" outlineLevel="1"/>
    <col min="30" max="31" width="12.88671875" hidden="1" customWidth="1" outlineLevel="1"/>
    <col min="32" max="32" width="10.6640625" style="3" hidden="1" customWidth="1" outlineLevel="1"/>
    <col min="33" max="33" width="9.109375" hidden="1" customWidth="1" outlineLevel="1"/>
    <col min="34" max="34" width="10.6640625" hidden="1" customWidth="1" outlineLevel="1"/>
    <col min="35" max="35" width="14.33203125" hidden="1" customWidth="1" outlineLevel="1"/>
    <col min="36" max="36" width="12" hidden="1" customWidth="1" outlineLevel="1"/>
    <col min="37" max="37" width="13.109375" hidden="1" customWidth="1" outlineLevel="1"/>
    <col min="38" max="38" width="9.109375" customWidth="1" collapsed="1"/>
    <col min="39" max="39" width="9.109375" customWidth="1"/>
    <col min="40" max="40" width="25.33203125" customWidth="1"/>
    <col min="41" max="41" width="2.33203125" customWidth="1"/>
    <col min="42" max="42" width="10.6640625" customWidth="1"/>
    <col min="43" max="43" width="9.109375" customWidth="1"/>
    <col min="44" max="44" width="20.6640625" customWidth="1"/>
    <col min="45" max="45" width="10.109375" customWidth="1"/>
    <col min="46" max="46" width="16.33203125" customWidth="1"/>
    <col min="47" max="47" width="11" customWidth="1"/>
    <col min="48" max="49" width="9.109375" customWidth="1"/>
    <col min="50" max="50" width="12.6640625" customWidth="1"/>
  </cols>
  <sheetData>
    <row r="1" spans="2:50">
      <c r="R1" s="1"/>
      <c r="AC1" s="2"/>
      <c r="AR1" s="727"/>
      <c r="AS1" s="727"/>
      <c r="AT1" s="727"/>
      <c r="AU1" s="727"/>
    </row>
    <row r="2" spans="2:50">
      <c r="R2" s="1"/>
      <c r="AA2" s="2"/>
      <c r="AC2" s="2"/>
      <c r="AR2" s="728"/>
      <c r="AS2" s="728"/>
      <c r="AT2" s="728"/>
      <c r="AU2" s="728"/>
    </row>
    <row r="3" spans="2:50" ht="0.75" customHeight="1" thickBot="1">
      <c r="R3" s="1"/>
      <c r="AC3" s="2"/>
    </row>
    <row r="4" spans="2:50" ht="27.75" customHeight="1" thickTop="1" thickBot="1">
      <c r="B4" s="729" t="s">
        <v>0</v>
      </c>
      <c r="C4" s="730"/>
      <c r="D4" s="730"/>
      <c r="E4" s="730"/>
      <c r="F4" s="730"/>
      <c r="G4" s="730"/>
      <c r="H4" s="730"/>
      <c r="I4" s="730"/>
      <c r="J4" s="730"/>
      <c r="K4" s="731" t="s">
        <v>267</v>
      </c>
      <c r="L4" s="731"/>
      <c r="M4" s="731"/>
      <c r="N4" s="731"/>
      <c r="O4" s="731"/>
      <c r="P4" s="732"/>
      <c r="R4" s="1"/>
      <c r="AR4" s="4"/>
    </row>
    <row r="5" spans="2:50" ht="27.75" hidden="1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R5" s="1"/>
      <c r="AR5" s="4"/>
    </row>
    <row r="6" spans="2:50" ht="25.5" customHeight="1" thickBot="1">
      <c r="B6" s="8"/>
      <c r="C6" s="9"/>
      <c r="D6" s="9"/>
      <c r="E6" s="9"/>
      <c r="F6" s="9"/>
      <c r="G6" s="9"/>
      <c r="H6" s="9"/>
      <c r="I6" s="9"/>
      <c r="J6" s="9"/>
      <c r="K6" s="9"/>
      <c r="L6" s="733" t="s">
        <v>1</v>
      </c>
      <c r="M6" s="733"/>
      <c r="N6" s="733"/>
      <c r="O6" s="733"/>
      <c r="P6" s="734"/>
      <c r="R6" s="1"/>
      <c r="AF6" s="10"/>
      <c r="AJ6" s="11" t="s">
        <v>2</v>
      </c>
      <c r="AK6" s="11" t="s">
        <v>3</v>
      </c>
    </row>
    <row r="7" spans="2:50" ht="15" thickTop="1">
      <c r="R7" s="1"/>
      <c r="AF7" s="10"/>
      <c r="AG7" s="12"/>
      <c r="AH7" s="12"/>
      <c r="AI7" s="12"/>
      <c r="AJ7" s="13" t="s">
        <v>4</v>
      </c>
      <c r="AK7" s="14" t="e">
        <f>#REF!</f>
        <v>#REF!</v>
      </c>
      <c r="AW7" s="15"/>
    </row>
    <row r="8" spans="2:50" ht="21.6" thickBot="1">
      <c r="B8" s="657" t="s">
        <v>5</v>
      </c>
      <c r="C8" s="657"/>
      <c r="D8" s="657"/>
      <c r="E8" s="657"/>
      <c r="F8" s="657"/>
      <c r="G8" s="657"/>
      <c r="H8" s="657"/>
      <c r="I8" s="657"/>
      <c r="J8" s="657"/>
      <c r="K8" s="657"/>
      <c r="L8" s="657"/>
      <c r="M8" s="657"/>
      <c r="N8" s="657"/>
      <c r="O8" s="657"/>
      <c r="P8" s="657"/>
      <c r="R8" s="1"/>
      <c r="AE8" s="16"/>
      <c r="AF8" s="10"/>
      <c r="AG8" s="12"/>
      <c r="AH8" s="17"/>
      <c r="AI8" s="17"/>
    </row>
    <row r="9" spans="2:50" ht="19.5" customHeight="1">
      <c r="B9" s="18"/>
      <c r="C9" s="19" t="s">
        <v>6</v>
      </c>
      <c r="D9" s="20"/>
      <c r="E9" s="20"/>
      <c r="F9" s="20"/>
      <c r="G9" s="20"/>
      <c r="H9" s="20"/>
      <c r="I9" s="20"/>
      <c r="J9" s="20"/>
      <c r="K9" s="20"/>
      <c r="L9" s="20"/>
      <c r="M9" s="21"/>
      <c r="N9" s="22"/>
      <c r="O9" s="22"/>
      <c r="P9" s="23"/>
      <c r="Z9" t="s">
        <v>7</v>
      </c>
      <c r="AA9" s="4" t="s">
        <v>7</v>
      </c>
      <c r="AE9" s="16"/>
      <c r="AF9" s="10"/>
      <c r="AG9" s="12"/>
      <c r="AH9" s="17"/>
      <c r="AI9" s="17"/>
      <c r="AQ9" s="24"/>
    </row>
    <row r="10" spans="2:50" ht="21.6" customHeight="1">
      <c r="B10" s="25"/>
      <c r="M10" s="26"/>
      <c r="N10" s="27"/>
      <c r="O10" s="27"/>
      <c r="P10" s="28"/>
      <c r="AA10" s="4"/>
      <c r="AE10" s="16"/>
      <c r="AF10" s="10"/>
      <c r="AG10" s="12"/>
      <c r="AH10" s="17"/>
      <c r="AI10" s="17"/>
    </row>
    <row r="11" spans="2:50" ht="21.75" customHeight="1">
      <c r="B11" s="25"/>
      <c r="M11" s="26"/>
      <c r="N11" s="27"/>
      <c r="O11" s="27"/>
      <c r="P11" s="28"/>
      <c r="AA11" s="4"/>
      <c r="AD11" s="29"/>
      <c r="AE11" s="16"/>
      <c r="AF11" s="10"/>
      <c r="AG11" s="12"/>
      <c r="AH11" s="12"/>
      <c r="AI11" s="17"/>
      <c r="AJ11" s="12"/>
      <c r="AK11" s="12"/>
      <c r="AQ11" s="30"/>
    </row>
    <row r="12" spans="2:50" ht="20.25" customHeight="1">
      <c r="B12" s="25"/>
      <c r="M12" s="26"/>
      <c r="N12" s="27"/>
      <c r="O12" s="27"/>
      <c r="P12" s="28"/>
      <c r="AA12" s="31"/>
      <c r="AE12" s="16"/>
      <c r="AF12" s="10"/>
      <c r="AG12" s="12"/>
      <c r="AH12" s="17"/>
      <c r="AI12" s="17"/>
    </row>
    <row r="13" spans="2:50" ht="19.5" customHeight="1">
      <c r="B13" s="25"/>
      <c r="M13" s="26"/>
      <c r="N13" s="27"/>
      <c r="O13" s="27"/>
      <c r="P13" s="28"/>
      <c r="AA13" s="4"/>
      <c r="AE13" s="16"/>
      <c r="AF13" s="10"/>
      <c r="AG13" s="12"/>
      <c r="AH13" s="17"/>
      <c r="AI13" s="17"/>
      <c r="AR13" s="4"/>
    </row>
    <row r="14" spans="2:50" ht="38.25" customHeight="1">
      <c r="B14" s="25"/>
      <c r="M14" s="26"/>
      <c r="N14" s="27"/>
      <c r="O14" s="27"/>
      <c r="P14" s="28"/>
      <c r="AA14" s="4"/>
      <c r="AE14" s="16"/>
      <c r="AF14" s="10"/>
      <c r="AG14" s="12"/>
      <c r="AH14" s="17"/>
      <c r="AI14" s="17"/>
      <c r="AJ14" s="32"/>
      <c r="AK14" s="33"/>
      <c r="AR14" s="4"/>
      <c r="AT14" s="4"/>
    </row>
    <row r="15" spans="2:50" ht="18.75" customHeight="1">
      <c r="B15" s="25"/>
      <c r="M15" s="26"/>
      <c r="N15" s="27"/>
      <c r="O15" s="27"/>
      <c r="P15" s="28"/>
      <c r="AA15" s="4" t="s">
        <v>8</v>
      </c>
      <c r="AE15" s="16"/>
      <c r="AF15" s="10"/>
      <c r="AG15" s="12"/>
      <c r="AH15" s="17"/>
      <c r="AI15" s="17"/>
      <c r="AR15" s="4"/>
    </row>
    <row r="16" spans="2:50" ht="21.75" customHeight="1">
      <c r="B16" s="25"/>
      <c r="M16" s="26"/>
      <c r="N16" s="27"/>
      <c r="O16" s="27"/>
      <c r="P16" s="28"/>
      <c r="AA16" s="4"/>
      <c r="AD16" s="34"/>
      <c r="AE16" s="16"/>
      <c r="AF16" s="10"/>
      <c r="AG16" s="12"/>
      <c r="AH16" s="17"/>
      <c r="AI16" s="17"/>
      <c r="AM16" s="35"/>
      <c r="AN16" s="35"/>
      <c r="AO16" s="35"/>
      <c r="AP16" s="35"/>
      <c r="AQ16" s="36"/>
      <c r="AR16" s="4"/>
      <c r="AX16" s="37"/>
    </row>
    <row r="17" spans="2:46" ht="18" customHeight="1">
      <c r="B17" s="38"/>
      <c r="C17" s="735"/>
      <c r="D17" s="735"/>
      <c r="E17" s="735"/>
      <c r="F17" s="735"/>
      <c r="M17" s="26"/>
      <c r="N17" s="27"/>
      <c r="O17" s="27"/>
      <c r="P17" s="28"/>
      <c r="AA17" s="4"/>
      <c r="AB17" s="34"/>
      <c r="AC17" s="39"/>
      <c r="AD17" s="34"/>
      <c r="AE17" s="16"/>
      <c r="AF17" s="10"/>
      <c r="AG17" s="12"/>
      <c r="AH17" s="17"/>
      <c r="AI17" s="17"/>
      <c r="AM17" s="40"/>
      <c r="AN17" s="40"/>
      <c r="AO17" s="40"/>
      <c r="AP17" s="40"/>
      <c r="AR17" s="4"/>
      <c r="AT17" s="4"/>
    </row>
    <row r="18" spans="2:46" ht="12" customHeight="1">
      <c r="B18" s="25"/>
      <c r="C18" s="735"/>
      <c r="D18" s="735"/>
      <c r="E18" s="735"/>
      <c r="F18" s="735"/>
      <c r="M18" s="26"/>
      <c r="N18" s="27"/>
      <c r="O18" s="27"/>
      <c r="P18" s="28"/>
      <c r="AA18" s="4"/>
      <c r="AC18" s="39"/>
      <c r="AD18" s="41"/>
      <c r="AE18" s="16"/>
      <c r="AF18" s="10"/>
      <c r="AG18" s="12"/>
      <c r="AH18" s="17"/>
      <c r="AI18" s="17"/>
      <c r="AM18" s="42"/>
      <c r="AN18" s="43"/>
      <c r="AO18" s="42"/>
      <c r="AP18" s="42"/>
      <c r="AQ18" s="40"/>
    </row>
    <row r="19" spans="2:46" ht="12" customHeight="1">
      <c r="B19" s="25"/>
      <c r="M19" s="26"/>
      <c r="N19" s="27"/>
      <c r="O19" s="27"/>
      <c r="P19" s="28"/>
      <c r="AA19" s="29"/>
      <c r="AC19" s="39"/>
      <c r="AE19" s="16"/>
      <c r="AF19" s="10"/>
      <c r="AG19" s="12"/>
      <c r="AH19" s="17"/>
      <c r="AI19" s="17"/>
      <c r="AM19" s="42"/>
      <c r="AN19" s="43"/>
      <c r="AO19" s="42"/>
      <c r="AP19" s="42"/>
      <c r="AQ19" s="40"/>
      <c r="AR19" s="4"/>
      <c r="AT19" s="17"/>
    </row>
    <row r="20" spans="2:46" ht="42.75" customHeight="1">
      <c r="B20" s="25"/>
      <c r="M20" s="26"/>
      <c r="N20" s="27"/>
      <c r="O20" s="27"/>
      <c r="P20" s="28"/>
      <c r="AA20" s="4"/>
      <c r="AC20" s="44"/>
      <c r="AE20" s="16"/>
      <c r="AF20" s="10"/>
      <c r="AG20" s="12"/>
      <c r="AN20" s="45"/>
      <c r="AP20" s="29"/>
      <c r="AQ20" s="40"/>
    </row>
    <row r="21" spans="2:46" ht="32.25" customHeight="1">
      <c r="B21" s="25"/>
      <c r="M21" s="26"/>
      <c r="N21" s="602"/>
      <c r="O21" s="602"/>
      <c r="P21" s="701"/>
      <c r="AA21" s="29"/>
      <c r="AE21" s="16"/>
      <c r="AF21" s="10"/>
      <c r="AG21" s="12"/>
      <c r="AN21" s="29"/>
      <c r="AP21" s="29"/>
    </row>
    <row r="22" spans="2:46" ht="31.95" customHeight="1">
      <c r="B22" s="25"/>
      <c r="M22" s="26"/>
      <c r="N22" s="46"/>
      <c r="O22" s="46"/>
      <c r="P22" s="47"/>
      <c r="AA22" s="29"/>
      <c r="AE22" s="16"/>
      <c r="AF22" s="10"/>
      <c r="AG22" s="12"/>
      <c r="AN22" s="29"/>
      <c r="AP22" s="29"/>
    </row>
    <row r="23" spans="2:46" ht="32.25" customHeight="1" thickBot="1">
      <c r="B23" s="48"/>
      <c r="C23" s="49"/>
      <c r="D23" s="49"/>
      <c r="E23" s="49"/>
      <c r="F23" s="49"/>
      <c r="G23" s="49"/>
      <c r="H23" s="49"/>
      <c r="I23" s="50"/>
      <c r="J23" s="49"/>
      <c r="K23" s="49"/>
      <c r="L23" s="49"/>
      <c r="M23" s="51"/>
      <c r="N23" s="52"/>
      <c r="O23" s="52"/>
      <c r="P23" s="53"/>
      <c r="AA23" s="29"/>
      <c r="AE23" s="16"/>
      <c r="AF23" s="10"/>
      <c r="AG23" s="12"/>
      <c r="AN23" s="29"/>
      <c r="AP23" s="29"/>
    </row>
    <row r="24" spans="2:46" ht="15" customHeight="1" thickBot="1">
      <c r="B24" s="622"/>
      <c r="C24" s="622"/>
      <c r="D24" s="622"/>
      <c r="E24" s="622"/>
      <c r="F24" s="622"/>
      <c r="G24" s="622"/>
      <c r="H24" s="622"/>
      <c r="I24" s="622"/>
      <c r="J24" s="622"/>
      <c r="K24" s="622"/>
      <c r="L24" s="622"/>
      <c r="M24" s="622"/>
      <c r="N24" s="622"/>
      <c r="O24" s="622"/>
      <c r="P24" s="622"/>
      <c r="AE24" s="16"/>
      <c r="AF24" s="54"/>
      <c r="AG24" s="54"/>
      <c r="AN24" s="41"/>
      <c r="AP24" s="29"/>
    </row>
    <row r="25" spans="2:46" ht="30.75" hidden="1" customHeight="1" thickTop="1" thickBot="1"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2"/>
      <c r="P25" s="622"/>
      <c r="AE25" s="16"/>
      <c r="AF25" s="10"/>
      <c r="AP25" s="17"/>
    </row>
    <row r="26" spans="2:46" ht="24.75" customHeight="1" thickTop="1" thickBot="1">
      <c r="B26" s="702" t="s">
        <v>9</v>
      </c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4"/>
      <c r="O26" s="704"/>
      <c r="P26" s="705"/>
      <c r="Z26" s="55"/>
      <c r="AF26" s="10"/>
    </row>
    <row r="27" spans="2:46" ht="24.75" customHeight="1" thickTop="1" thickBot="1">
      <c r="B27" s="706"/>
      <c r="C27" s="707"/>
      <c r="D27" s="707"/>
      <c r="E27" s="707"/>
      <c r="F27" s="707"/>
      <c r="G27" s="708"/>
      <c r="H27" s="710" t="s">
        <v>10</v>
      </c>
      <c r="I27" s="710"/>
      <c r="J27" s="710"/>
      <c r="K27" s="710"/>
      <c r="L27" s="710"/>
      <c r="M27" s="711"/>
      <c r="N27" s="714" t="s">
        <v>290</v>
      </c>
      <c r="O27" s="714"/>
      <c r="P27" s="715"/>
      <c r="R27" t="s">
        <v>11</v>
      </c>
      <c r="Z27" s="55"/>
      <c r="AF27" s="10"/>
    </row>
    <row r="28" spans="2:46" ht="9" customHeight="1" thickTop="1" thickBot="1">
      <c r="B28" s="709"/>
      <c r="C28" s="686"/>
      <c r="D28" s="686"/>
      <c r="E28" s="686"/>
      <c r="F28" s="686"/>
      <c r="G28" s="688"/>
      <c r="H28" s="712"/>
      <c r="I28" s="712"/>
      <c r="J28" s="712"/>
      <c r="K28" s="712"/>
      <c r="L28" s="712"/>
      <c r="M28" s="713"/>
      <c r="N28" s="716"/>
      <c r="O28" s="716"/>
      <c r="P28" s="717"/>
      <c r="Z28" s="55"/>
      <c r="AF28" s="10"/>
    </row>
    <row r="29" spans="2:46" ht="4.5" customHeight="1" thickTop="1" thickBot="1">
      <c r="B29" s="709"/>
      <c r="C29" s="686"/>
      <c r="D29" s="686"/>
      <c r="E29" s="686"/>
      <c r="F29" s="686"/>
      <c r="G29" s="688"/>
      <c r="H29" s="712"/>
      <c r="I29" s="712"/>
      <c r="J29" s="712"/>
      <c r="K29" s="712"/>
      <c r="L29" s="712"/>
      <c r="M29" s="713"/>
      <c r="N29" s="716"/>
      <c r="O29" s="716"/>
      <c r="P29" s="717"/>
      <c r="Z29" s="55"/>
      <c r="AB29" s="56"/>
      <c r="AF29" s="10"/>
      <c r="AN29" s="45"/>
    </row>
    <row r="30" spans="2:46" ht="9.75" customHeight="1" thickTop="1" thickBot="1">
      <c r="B30" s="709"/>
      <c r="C30" s="686"/>
      <c r="D30" s="686"/>
      <c r="E30" s="686"/>
      <c r="F30" s="686"/>
      <c r="G30" s="688"/>
      <c r="H30" s="712"/>
      <c r="I30" s="712"/>
      <c r="J30" s="712"/>
      <c r="K30" s="712"/>
      <c r="L30" s="712"/>
      <c r="M30" s="713"/>
      <c r="N30" s="716"/>
      <c r="O30" s="716"/>
      <c r="P30" s="717"/>
      <c r="Z30" s="55"/>
      <c r="AA30" s="17"/>
      <c r="AF30" s="10"/>
      <c r="AN30" s="45"/>
    </row>
    <row r="31" spans="2:46" ht="30.75" hidden="1" customHeight="1" thickTop="1" thickBot="1">
      <c r="B31" s="709"/>
      <c r="C31" s="686"/>
      <c r="D31" s="686"/>
      <c r="E31" s="686"/>
      <c r="F31" s="686"/>
      <c r="G31" s="688"/>
      <c r="H31" s="712"/>
      <c r="I31" s="712"/>
      <c r="J31" s="712"/>
      <c r="K31" s="712"/>
      <c r="L31" s="712"/>
      <c r="M31" s="713"/>
      <c r="N31" s="716"/>
      <c r="O31" s="716"/>
      <c r="P31" s="7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F31" s="10"/>
      <c r="AN31" s="45"/>
    </row>
    <row r="32" spans="2:46" ht="45.75" customHeight="1" thickTop="1" thickBot="1">
      <c r="B32" s="709"/>
      <c r="C32" s="686"/>
      <c r="D32" s="686"/>
      <c r="E32" s="686"/>
      <c r="F32" s="686"/>
      <c r="G32" s="688"/>
      <c r="H32" s="712"/>
      <c r="I32" s="712"/>
      <c r="J32" s="712"/>
      <c r="K32" s="712"/>
      <c r="L32" s="712"/>
      <c r="M32" s="713"/>
      <c r="N32" s="716"/>
      <c r="O32" s="716"/>
      <c r="P32" s="717"/>
      <c r="AB32" s="17"/>
      <c r="AC32" s="17"/>
      <c r="AF32" s="10"/>
      <c r="AN32" s="45"/>
    </row>
    <row r="33" spans="2:35" ht="27.75" customHeight="1" thickTop="1" thickBot="1">
      <c r="B33" s="709"/>
      <c r="C33" s="686"/>
      <c r="D33" s="686"/>
      <c r="E33" s="686"/>
      <c r="F33" s="686"/>
      <c r="G33" s="688"/>
      <c r="H33" s="712"/>
      <c r="I33" s="712"/>
      <c r="J33" s="712"/>
      <c r="K33" s="712"/>
      <c r="L33" s="712"/>
      <c r="M33" s="713"/>
      <c r="N33" s="716"/>
      <c r="O33" s="716"/>
      <c r="P33" s="717"/>
      <c r="AC33" s="17"/>
      <c r="AD33" s="57"/>
      <c r="AF33" s="10"/>
    </row>
    <row r="34" spans="2:35" ht="29.25" customHeight="1" thickTop="1" thickBot="1">
      <c r="B34" s="709"/>
      <c r="C34" s="686"/>
      <c r="D34" s="686"/>
      <c r="E34" s="686"/>
      <c r="F34" s="686"/>
      <c r="G34" s="688"/>
      <c r="H34" s="712"/>
      <c r="I34" s="712"/>
      <c r="J34" s="712"/>
      <c r="K34" s="712"/>
      <c r="L34" s="712"/>
      <c r="M34" s="713"/>
      <c r="N34" s="716"/>
      <c r="O34" s="716"/>
      <c r="P34" s="717"/>
      <c r="AC34" s="17"/>
      <c r="AF34" s="10"/>
    </row>
    <row r="35" spans="2:35" ht="18.75" customHeight="1" thickTop="1" thickBot="1">
      <c r="B35" s="709"/>
      <c r="C35" s="686"/>
      <c r="D35" s="686"/>
      <c r="E35" s="686"/>
      <c r="F35" s="686"/>
      <c r="G35" s="688"/>
      <c r="H35" s="712"/>
      <c r="I35" s="712"/>
      <c r="J35" s="712"/>
      <c r="K35" s="712"/>
      <c r="L35" s="712"/>
      <c r="M35" s="713"/>
      <c r="N35" s="716"/>
      <c r="O35" s="716"/>
      <c r="P35" s="717"/>
      <c r="R35" s="58"/>
      <c r="S35" s="58"/>
      <c r="T35" s="58"/>
      <c r="U35" s="58"/>
      <c r="V35" s="58"/>
      <c r="W35" s="58"/>
      <c r="X35" s="58"/>
      <c r="Y35" s="58"/>
      <c r="AC35" s="4"/>
      <c r="AF35" s="10"/>
    </row>
    <row r="36" spans="2:35" ht="14.25" customHeight="1" thickTop="1" thickBot="1">
      <c r="B36" s="709"/>
      <c r="C36" s="686"/>
      <c r="D36" s="686"/>
      <c r="E36" s="686"/>
      <c r="F36" s="686"/>
      <c r="G36" s="688"/>
      <c r="H36" s="712"/>
      <c r="I36" s="712"/>
      <c r="J36" s="712"/>
      <c r="K36" s="712"/>
      <c r="L36" s="712"/>
      <c r="M36" s="713"/>
      <c r="N36" s="716"/>
      <c r="O36" s="716"/>
      <c r="P36" s="717"/>
      <c r="AC36" s="17"/>
      <c r="AF36" s="10"/>
    </row>
    <row r="37" spans="2:35" ht="9" customHeight="1" thickTop="1" thickBot="1">
      <c r="B37" s="709"/>
      <c r="C37" s="686"/>
      <c r="D37" s="686"/>
      <c r="E37" s="686"/>
      <c r="F37" s="686"/>
      <c r="G37" s="688"/>
      <c r="H37" s="712"/>
      <c r="I37" s="712"/>
      <c r="J37" s="712"/>
      <c r="K37" s="712"/>
      <c r="L37" s="712"/>
      <c r="M37" s="713"/>
      <c r="N37" s="716"/>
      <c r="O37" s="716"/>
      <c r="P37" s="717"/>
      <c r="AF37" s="10"/>
    </row>
    <row r="38" spans="2:35" ht="28.5" customHeight="1" thickTop="1">
      <c r="B38" s="720"/>
      <c r="C38" s="721"/>
      <c r="D38" s="721"/>
      <c r="E38" s="721"/>
      <c r="F38" s="721"/>
      <c r="G38" s="721"/>
      <c r="H38" s="722"/>
      <c r="I38" s="722"/>
      <c r="J38" s="722"/>
      <c r="K38" s="722"/>
      <c r="L38" s="722"/>
      <c r="M38" s="723"/>
      <c r="N38" s="716"/>
      <c r="O38" s="716"/>
      <c r="P38" s="717"/>
      <c r="AC38" s="17"/>
      <c r="AF38" s="10"/>
    </row>
    <row r="39" spans="2:35" ht="40.950000000000003" customHeight="1" thickBot="1">
      <c r="B39" s="724"/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6"/>
      <c r="N39" s="718"/>
      <c r="O39" s="718"/>
      <c r="P39" s="719"/>
      <c r="AF39" s="10"/>
    </row>
    <row r="40" spans="2:35" ht="34.5" customHeight="1" thickBot="1"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Z40" s="17"/>
      <c r="AA40" s="17"/>
      <c r="AD40" s="17"/>
      <c r="AE40" s="17"/>
      <c r="AF40" s="17"/>
      <c r="AG40" s="17"/>
      <c r="AH40" s="17"/>
      <c r="AI40" s="17"/>
    </row>
    <row r="41" spans="2:35" ht="22.2" thickTop="1" thickBot="1">
      <c r="B41" s="680" t="s">
        <v>12</v>
      </c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  <c r="N41" s="681"/>
      <c r="O41" s="681"/>
      <c r="P41" s="682"/>
      <c r="AB41" s="17"/>
      <c r="AC41" s="17"/>
      <c r="AE41" s="17"/>
    </row>
    <row r="42" spans="2:35" ht="15.6" thickTop="1" thickBot="1">
      <c r="B42" s="683"/>
      <c r="C42" s="684"/>
      <c r="D42" s="684"/>
      <c r="E42" s="684"/>
      <c r="F42" s="684"/>
      <c r="G42" s="684"/>
      <c r="H42" s="684"/>
      <c r="I42" s="684"/>
      <c r="J42" s="684"/>
      <c r="K42" s="684"/>
      <c r="L42" s="684"/>
      <c r="M42" s="687"/>
      <c r="N42" s="689" t="s">
        <v>13</v>
      </c>
      <c r="O42" s="690"/>
      <c r="P42" s="691"/>
      <c r="Z42" s="60"/>
      <c r="AA42" s="45"/>
    </row>
    <row r="43" spans="2:35" ht="15.6" thickTop="1" thickBot="1">
      <c r="B43" s="685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8"/>
      <c r="N43" s="692"/>
      <c r="O43" s="693"/>
      <c r="P43" s="694"/>
      <c r="R43" s="45"/>
      <c r="S43" s="45"/>
      <c r="T43" s="45"/>
      <c r="U43" s="45"/>
      <c r="V43" s="45"/>
      <c r="W43" s="45"/>
      <c r="X43" s="45"/>
      <c r="Y43" s="45"/>
      <c r="Z43" s="41"/>
      <c r="AB43" s="45"/>
    </row>
    <row r="44" spans="2:35" ht="15.6" thickTop="1" thickBot="1">
      <c r="B44" s="685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8"/>
      <c r="N44" s="692"/>
      <c r="O44" s="693"/>
      <c r="P44" s="694"/>
      <c r="R44" s="63"/>
      <c r="S44" s="63"/>
      <c r="T44" s="63"/>
      <c r="U44" s="63"/>
      <c r="V44" s="63"/>
      <c r="W44" s="63"/>
      <c r="X44" s="63"/>
      <c r="Y44" s="63"/>
      <c r="AF44" s="64"/>
    </row>
    <row r="45" spans="2:35" ht="15.6" thickTop="1" thickBot="1">
      <c r="B45" s="685"/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8"/>
      <c r="N45" s="692"/>
      <c r="O45" s="693"/>
      <c r="P45" s="694"/>
      <c r="R45" s="45"/>
      <c r="S45" s="45"/>
      <c r="T45" s="45"/>
      <c r="U45" s="45"/>
      <c r="V45" s="45"/>
      <c r="W45" s="45"/>
      <c r="X45" s="45"/>
      <c r="Y45" s="45"/>
      <c r="AF45" s="64"/>
    </row>
    <row r="46" spans="2:35" ht="15.6" thickTop="1" thickBot="1">
      <c r="B46" s="685"/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8"/>
      <c r="N46" s="692"/>
      <c r="O46" s="693"/>
      <c r="P46" s="694"/>
      <c r="R46" s="41"/>
      <c r="S46" s="41"/>
      <c r="T46" s="41"/>
      <c r="U46" s="41"/>
      <c r="V46" s="41"/>
      <c r="W46" s="41"/>
      <c r="X46" s="41"/>
      <c r="Y46" s="41"/>
      <c r="Z46" s="16"/>
      <c r="AA46" s="16"/>
      <c r="AC46" s="65"/>
      <c r="AF46" s="64"/>
    </row>
    <row r="47" spans="2:35" ht="27" customHeight="1" thickTop="1" thickBot="1">
      <c r="B47" s="685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8"/>
      <c r="N47" s="692"/>
      <c r="O47" s="693"/>
      <c r="P47" s="694"/>
      <c r="Z47" s="66"/>
      <c r="AA47" s="65">
        <v>363</v>
      </c>
      <c r="AB47" s="16"/>
      <c r="AC47" s="16"/>
      <c r="AD47" s="67"/>
      <c r="AF47" s="64"/>
    </row>
    <row r="48" spans="2:35" ht="15.6" thickTop="1" thickBot="1">
      <c r="B48" s="685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8"/>
      <c r="N48" s="692"/>
      <c r="O48" s="693"/>
      <c r="P48" s="694"/>
      <c r="AA48">
        <v>548</v>
      </c>
      <c r="AB48" s="65"/>
      <c r="AC48" s="41"/>
      <c r="AF48" s="64"/>
    </row>
    <row r="49" spans="2:33" ht="15.6" thickTop="1" thickBot="1">
      <c r="B49" s="685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8"/>
      <c r="N49" s="692"/>
      <c r="O49" s="693"/>
      <c r="P49" s="694"/>
      <c r="AF49" s="64"/>
    </row>
    <row r="50" spans="2:33" ht="15.6" thickTop="1" thickBot="1">
      <c r="B50" s="685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8"/>
      <c r="N50" s="692"/>
      <c r="O50" s="693"/>
      <c r="P50" s="694"/>
      <c r="AB50" s="68"/>
      <c r="AC50" s="68"/>
      <c r="AD50" s="68"/>
      <c r="AE50" s="68"/>
      <c r="AF50" s="64"/>
    </row>
    <row r="51" spans="2:33" ht="15.6" thickTop="1" thickBot="1">
      <c r="B51" s="685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8"/>
      <c r="N51" s="692"/>
      <c r="O51" s="693"/>
      <c r="P51" s="694"/>
      <c r="AB51" s="68"/>
      <c r="AC51" s="68"/>
      <c r="AD51" s="68"/>
      <c r="AE51" s="68"/>
      <c r="AF51" s="64"/>
    </row>
    <row r="52" spans="2:33" ht="25.5" customHeight="1" thickTop="1" thickBot="1">
      <c r="B52" s="685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8"/>
      <c r="N52" s="692"/>
      <c r="O52" s="693"/>
      <c r="P52" s="694"/>
      <c r="AB52" s="68"/>
      <c r="AC52" s="68"/>
      <c r="AD52" s="68"/>
      <c r="AE52" s="68"/>
      <c r="AF52" s="64"/>
    </row>
    <row r="53" spans="2:33" ht="15.6" thickTop="1" thickBot="1">
      <c r="B53" s="685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8"/>
      <c r="N53" s="692"/>
      <c r="O53" s="693"/>
      <c r="P53" s="694"/>
      <c r="AB53" s="68"/>
      <c r="AC53" s="68"/>
      <c r="AD53" s="68"/>
      <c r="AE53" s="68"/>
      <c r="AF53" s="64"/>
    </row>
    <row r="54" spans="2:33" ht="6.75" customHeight="1" thickTop="1" thickBot="1">
      <c r="B54" s="685"/>
      <c r="C54" s="686"/>
      <c r="D54" s="686"/>
      <c r="E54" s="686"/>
      <c r="F54" s="686"/>
      <c r="G54" s="686"/>
      <c r="H54" s="686"/>
      <c r="I54" s="686"/>
      <c r="J54" s="686"/>
      <c r="K54" s="686"/>
      <c r="L54" s="686"/>
      <c r="M54" s="688"/>
      <c r="N54" s="692"/>
      <c r="O54" s="693"/>
      <c r="P54" s="694"/>
      <c r="AB54" s="68"/>
      <c r="AC54" s="68"/>
      <c r="AD54" s="68"/>
      <c r="AE54" s="68"/>
      <c r="AF54" s="64"/>
    </row>
    <row r="55" spans="2:33" ht="21.75" customHeight="1" thickTop="1" thickBot="1">
      <c r="B55" s="685"/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8"/>
      <c r="N55" s="692"/>
      <c r="O55" s="693"/>
      <c r="P55" s="694"/>
      <c r="AF55" s="64"/>
    </row>
    <row r="56" spans="2:33" ht="46.5" customHeight="1" thickTop="1" thickBot="1">
      <c r="B56" s="698"/>
      <c r="C56" s="699"/>
      <c r="D56" s="699"/>
      <c r="E56" s="699"/>
      <c r="F56" s="699"/>
      <c r="G56" s="699"/>
      <c r="H56" s="699"/>
      <c r="I56" s="699"/>
      <c r="J56" s="699"/>
      <c r="K56" s="699"/>
      <c r="L56" s="699"/>
      <c r="M56" s="700"/>
      <c r="N56" s="695"/>
      <c r="O56" s="696"/>
      <c r="P56" s="697"/>
      <c r="AB56">
        <f>710+363+548</f>
        <v>1621</v>
      </c>
      <c r="AF56" s="64"/>
    </row>
    <row r="57" spans="2:33" ht="3" customHeight="1" thickTop="1" thickBot="1">
      <c r="B57" s="71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69"/>
      <c r="O57" s="69"/>
      <c r="P57" s="70"/>
      <c r="AF57" s="64"/>
    </row>
    <row r="58" spans="2:33" ht="12" customHeight="1" thickTop="1" thickBot="1">
      <c r="B58" s="73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61"/>
      <c r="O58" s="61"/>
      <c r="P58" s="62"/>
      <c r="AF58" s="64"/>
    </row>
    <row r="59" spans="2:33" ht="31.5" customHeight="1" thickTop="1" thickBot="1">
      <c r="B59" s="665" t="s">
        <v>14</v>
      </c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7"/>
      <c r="AF59" s="64"/>
    </row>
    <row r="60" spans="2:33" ht="60.75" customHeight="1" thickTop="1">
      <c r="B60" s="75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668"/>
      <c r="O60" s="669"/>
      <c r="P60" s="670"/>
      <c r="Z60" s="77"/>
      <c r="AA60" s="78"/>
      <c r="AF60" s="64"/>
    </row>
    <row r="61" spans="2:33" ht="31.5" customHeight="1">
      <c r="B61" s="79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671"/>
      <c r="O61" s="672"/>
      <c r="P61" s="673"/>
      <c r="Z61" s="77"/>
      <c r="AA61" s="78"/>
      <c r="AF61" s="64"/>
    </row>
    <row r="62" spans="2:33" ht="36.75" customHeight="1" thickBot="1"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674"/>
      <c r="O62" s="675"/>
      <c r="P62" s="676"/>
      <c r="Z62" s="77"/>
      <c r="AA62" s="78"/>
      <c r="AF62" s="64"/>
    </row>
    <row r="63" spans="2:33" ht="24" customHeight="1" thickTop="1">
      <c r="B63" s="82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P63" s="84"/>
      <c r="AD63" s="655"/>
      <c r="AE63" s="655"/>
      <c r="AF63" s="655"/>
      <c r="AG63" s="655"/>
    </row>
    <row r="64" spans="2:33" ht="11.25" customHeight="1">
      <c r="B64" s="86"/>
      <c r="P64" s="84"/>
      <c r="AD64" s="85"/>
      <c r="AE64" s="85"/>
      <c r="AF64" s="85"/>
      <c r="AG64" s="85"/>
    </row>
    <row r="65" spans="2:35" hidden="1">
      <c r="B65" s="86"/>
      <c r="P65" s="84"/>
      <c r="AD65" s="85"/>
      <c r="AE65" s="85"/>
      <c r="AF65" s="85"/>
      <c r="AG65" s="85"/>
    </row>
    <row r="66" spans="2:35">
      <c r="B66" s="86"/>
      <c r="P66" s="84"/>
      <c r="AD66" s="85"/>
      <c r="AE66" s="85"/>
      <c r="AF66" s="85"/>
      <c r="AG66" s="85"/>
    </row>
    <row r="67" spans="2:35">
      <c r="B67" s="86"/>
      <c r="P67" s="84"/>
      <c r="AD67" s="85"/>
      <c r="AE67" s="85"/>
      <c r="AF67" s="85"/>
      <c r="AG67" s="85"/>
    </row>
    <row r="68" spans="2:35">
      <c r="B68" s="86"/>
      <c r="P68" s="84"/>
      <c r="AD68" s="85"/>
      <c r="AE68" s="85"/>
      <c r="AF68" s="85"/>
      <c r="AG68" s="85"/>
    </row>
    <row r="69" spans="2:35">
      <c r="B69" s="86"/>
      <c r="P69" s="84"/>
      <c r="AD69" s="85"/>
      <c r="AE69" s="85"/>
      <c r="AF69" s="85"/>
      <c r="AG69" s="85"/>
    </row>
    <row r="70" spans="2:35">
      <c r="B70" s="86"/>
      <c r="P70" s="84"/>
      <c r="AD70" s="85"/>
      <c r="AE70" s="85"/>
      <c r="AF70" s="85"/>
      <c r="AG70" s="85"/>
    </row>
    <row r="71" spans="2:35">
      <c r="B71" s="86"/>
      <c r="P71" s="84"/>
      <c r="AD71" s="85"/>
      <c r="AE71" s="85"/>
      <c r="AF71" s="85"/>
      <c r="AG71" s="85"/>
    </row>
    <row r="72" spans="2:35">
      <c r="B72" s="86"/>
      <c r="P72" s="84"/>
      <c r="AD72" s="85"/>
      <c r="AE72" s="85"/>
      <c r="AF72" s="85"/>
      <c r="AG72" s="85"/>
    </row>
    <row r="73" spans="2:35">
      <c r="B73" s="86"/>
      <c r="P73" s="84"/>
      <c r="AD73" s="655"/>
      <c r="AE73" s="655"/>
      <c r="AF73" s="655"/>
      <c r="AG73" s="655"/>
    </row>
    <row r="74" spans="2:35" ht="16.5" customHeight="1" thickBot="1">
      <c r="B74" s="87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AD74" s="655"/>
      <c r="AE74" s="655"/>
      <c r="AF74" s="655"/>
      <c r="AG74" s="655"/>
    </row>
    <row r="75" spans="2:35" ht="16.5" customHeight="1" thickTop="1" thickBot="1">
      <c r="AD75" s="85"/>
      <c r="AE75" s="85"/>
      <c r="AF75" s="85"/>
      <c r="AG75" s="85"/>
    </row>
    <row r="76" spans="2:35" ht="51.6" customHeight="1" thickBot="1">
      <c r="B76" s="677" t="s">
        <v>15</v>
      </c>
      <c r="C76" s="678"/>
      <c r="D76" s="678"/>
      <c r="E76" s="678"/>
      <c r="F76" s="678"/>
      <c r="G76" s="678"/>
      <c r="H76" s="678"/>
      <c r="I76" s="678"/>
      <c r="J76" s="678"/>
      <c r="K76" s="678"/>
      <c r="L76" s="678"/>
      <c r="M76" s="678"/>
      <c r="N76" s="678"/>
      <c r="O76" s="678"/>
      <c r="P76" s="679"/>
      <c r="AD76" s="58"/>
      <c r="AE76" s="90"/>
      <c r="AF76" s="90"/>
      <c r="AG76" s="90"/>
    </row>
    <row r="77" spans="2:35" ht="15" customHeight="1">
      <c r="B77" s="644"/>
      <c r="C77" s="645"/>
      <c r="D77" s="645"/>
      <c r="E77" s="645"/>
      <c r="F77" s="645"/>
      <c r="G77" s="645"/>
      <c r="H77" s="645"/>
      <c r="I77" s="645"/>
      <c r="J77" s="645"/>
      <c r="K77" s="645"/>
      <c r="L77" s="645"/>
      <c r="M77" s="645"/>
      <c r="N77" s="651"/>
      <c r="O77" s="651"/>
      <c r="P77" s="652"/>
      <c r="AD77" s="58"/>
      <c r="AE77" s="91"/>
      <c r="AF77" s="91"/>
      <c r="AG77" s="91"/>
    </row>
    <row r="78" spans="2:35" ht="15" customHeight="1">
      <c r="B78" s="646"/>
      <c r="C78" s="580"/>
      <c r="D78" s="580"/>
      <c r="E78" s="580"/>
      <c r="F78" s="580"/>
      <c r="G78" s="580"/>
      <c r="H78" s="580"/>
      <c r="I78" s="580"/>
      <c r="J78" s="580"/>
      <c r="K78" s="580"/>
      <c r="L78" s="580"/>
      <c r="M78" s="580"/>
      <c r="N78" s="653"/>
      <c r="O78" s="653"/>
      <c r="P78" s="654"/>
      <c r="AA78" s="92"/>
      <c r="AD78" s="58"/>
      <c r="AE78" s="91"/>
      <c r="AF78" s="91"/>
      <c r="AG78" s="91"/>
    </row>
    <row r="79" spans="2:35" ht="15.75" customHeight="1">
      <c r="B79" s="646"/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653"/>
      <c r="O79" s="653"/>
      <c r="P79" s="654"/>
      <c r="AA79" s="92"/>
      <c r="AB79" s="92"/>
      <c r="AC79" s="92"/>
      <c r="AD79" s="93"/>
      <c r="AE79" s="91"/>
      <c r="AF79" s="91"/>
      <c r="AG79" s="91"/>
      <c r="AH79" s="94"/>
      <c r="AI79" s="94"/>
    </row>
    <row r="80" spans="2:35">
      <c r="B80" s="646"/>
      <c r="C80" s="580"/>
      <c r="D80" s="580"/>
      <c r="E80" s="580"/>
      <c r="F80" s="580"/>
      <c r="G80" s="580"/>
      <c r="H80" s="580"/>
      <c r="I80" s="580"/>
      <c r="J80" s="580"/>
      <c r="K80" s="580"/>
      <c r="L80" s="580"/>
      <c r="M80" s="580"/>
      <c r="N80" s="653"/>
      <c r="O80" s="653"/>
      <c r="P80" s="654"/>
      <c r="AB80" s="92"/>
      <c r="AC80" s="92"/>
      <c r="AD80" s="58"/>
      <c r="AE80" s="91"/>
      <c r="AF80" s="91"/>
      <c r="AG80" s="91"/>
      <c r="AH80" s="41"/>
      <c r="AI80" s="41"/>
    </row>
    <row r="81" spans="2:38">
      <c r="B81" s="646"/>
      <c r="C81" s="580"/>
      <c r="D81" s="580"/>
      <c r="E81" s="580"/>
      <c r="F81" s="580"/>
      <c r="G81" s="580"/>
      <c r="H81" s="580"/>
      <c r="I81" s="580"/>
      <c r="J81" s="580"/>
      <c r="K81" s="580"/>
      <c r="L81" s="580"/>
      <c r="M81" s="580"/>
      <c r="N81" s="653"/>
      <c r="O81" s="653"/>
      <c r="P81" s="654"/>
      <c r="AD81" s="58"/>
      <c r="AE81" s="91"/>
      <c r="AF81" s="91"/>
      <c r="AG81" s="91"/>
    </row>
    <row r="82" spans="2:38">
      <c r="B82" s="646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653"/>
      <c r="O82" s="653"/>
      <c r="P82" s="654"/>
      <c r="AD82" s="95"/>
      <c r="AE82" s="96"/>
      <c r="AF82" s="96"/>
      <c r="AG82" s="96"/>
    </row>
    <row r="83" spans="2:38" ht="15.75" customHeight="1">
      <c r="B83" s="646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653"/>
      <c r="O83" s="653"/>
      <c r="P83" s="654"/>
      <c r="AA83" s="97"/>
      <c r="AD83" s="95"/>
      <c r="AE83" s="96"/>
      <c r="AF83" s="96"/>
      <c r="AG83" s="96"/>
      <c r="AI83" s="41"/>
      <c r="AL83" s="85"/>
    </row>
    <row r="84" spans="2:38" ht="19.5" customHeight="1">
      <c r="B84" s="646"/>
      <c r="C84" s="580"/>
      <c r="D84" s="580"/>
      <c r="E84" s="580"/>
      <c r="F84" s="580"/>
      <c r="G84" s="580"/>
      <c r="H84" s="580"/>
      <c r="I84" s="580"/>
      <c r="J84" s="580"/>
      <c r="K84" s="580"/>
      <c r="L84" s="580"/>
      <c r="M84" s="580"/>
      <c r="N84" s="653"/>
      <c r="O84" s="653"/>
      <c r="P84" s="654"/>
      <c r="AA84" s="97"/>
      <c r="AB84" s="97"/>
      <c r="AC84" s="97"/>
      <c r="AD84" s="655"/>
      <c r="AE84" s="655"/>
      <c r="AF84" s="655"/>
      <c r="AG84" s="655"/>
      <c r="AH84" s="41"/>
      <c r="AI84" s="85"/>
      <c r="AJ84" s="85"/>
      <c r="AK84" s="85"/>
      <c r="AL84" s="90"/>
    </row>
    <row r="85" spans="2:38" ht="22.5" customHeight="1">
      <c r="B85" s="646"/>
      <c r="C85" s="580"/>
      <c r="D85" s="580"/>
      <c r="E85" s="580"/>
      <c r="F85" s="580"/>
      <c r="G85" s="580"/>
      <c r="H85" s="580"/>
      <c r="I85" s="580"/>
      <c r="J85" s="580"/>
      <c r="K85" s="580"/>
      <c r="L85" s="580"/>
      <c r="M85" s="580"/>
      <c r="N85" s="653"/>
      <c r="O85" s="653"/>
      <c r="P85" s="654"/>
      <c r="AB85" s="97"/>
      <c r="AC85" s="97"/>
      <c r="AD85" s="58"/>
      <c r="AE85" s="90"/>
      <c r="AF85" s="90"/>
      <c r="AG85" s="90"/>
      <c r="AH85" s="90"/>
      <c r="AI85" s="58"/>
      <c r="AJ85" s="90"/>
      <c r="AK85" s="90"/>
      <c r="AL85" s="98"/>
    </row>
    <row r="86" spans="2:38" ht="19.5" customHeight="1">
      <c r="B86" s="646"/>
      <c r="C86" s="580"/>
      <c r="D86" s="580"/>
      <c r="E86" s="580"/>
      <c r="F86" s="580"/>
      <c r="G86" s="580"/>
      <c r="H86" s="580"/>
      <c r="I86" s="580"/>
      <c r="J86" s="580"/>
      <c r="K86" s="580"/>
      <c r="L86" s="580"/>
      <c r="M86" s="580"/>
      <c r="N86" s="653"/>
      <c r="O86" s="653"/>
      <c r="P86" s="654"/>
      <c r="AD86" s="58"/>
      <c r="AE86" s="98"/>
      <c r="AF86" s="98"/>
      <c r="AG86" s="98"/>
      <c r="AH86" s="99"/>
      <c r="AI86" s="58"/>
      <c r="AJ86" s="98"/>
      <c r="AK86" s="98"/>
      <c r="AL86" s="98"/>
    </row>
    <row r="87" spans="2:38" ht="22.5" hidden="1" customHeight="1">
      <c r="B87" s="646"/>
      <c r="C87" s="580"/>
      <c r="D87" s="580"/>
      <c r="E87" s="580"/>
      <c r="F87" s="580"/>
      <c r="G87" s="580"/>
      <c r="H87" s="580"/>
      <c r="I87" s="580"/>
      <c r="J87" s="580"/>
      <c r="K87" s="580"/>
      <c r="L87" s="580"/>
      <c r="M87" s="647"/>
      <c r="N87" s="100"/>
      <c r="O87" s="101"/>
      <c r="P87" s="102"/>
      <c r="AA87" s="58"/>
      <c r="AD87" s="58"/>
      <c r="AE87" s="98"/>
      <c r="AF87" s="98"/>
      <c r="AG87" s="98"/>
      <c r="AH87" s="99"/>
      <c r="AI87" s="58"/>
      <c r="AJ87" s="98"/>
      <c r="AK87" s="98"/>
      <c r="AL87" s="98"/>
    </row>
    <row r="88" spans="2:38" ht="0.75" hidden="1" customHeight="1">
      <c r="B88" s="646"/>
      <c r="C88" s="580"/>
      <c r="D88" s="580"/>
      <c r="E88" s="580"/>
      <c r="F88" s="580"/>
      <c r="G88" s="580"/>
      <c r="H88" s="580"/>
      <c r="I88" s="580"/>
      <c r="J88" s="580"/>
      <c r="K88" s="580"/>
      <c r="L88" s="580"/>
      <c r="M88" s="647"/>
      <c r="N88" s="100"/>
      <c r="O88" s="101"/>
      <c r="P88" s="102"/>
      <c r="AA88" s="58"/>
      <c r="AB88" s="103"/>
      <c r="AD88" s="93"/>
      <c r="AE88" s="98"/>
      <c r="AF88" s="98"/>
      <c r="AG88" s="98"/>
      <c r="AH88" s="99"/>
      <c r="AI88" s="93"/>
      <c r="AJ88" s="98"/>
      <c r="AK88" s="98"/>
      <c r="AL88" s="4"/>
    </row>
    <row r="89" spans="2:38" ht="21" hidden="1" customHeight="1" thickBot="1">
      <c r="B89" s="648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50"/>
      <c r="N89" s="104"/>
      <c r="O89" s="105"/>
      <c r="P89" s="106"/>
      <c r="AA89" s="93"/>
      <c r="AB89" s="103"/>
      <c r="AD89" s="58"/>
      <c r="AF89" s="64"/>
      <c r="AI89" s="58"/>
      <c r="AJ89" s="4"/>
      <c r="AK89" s="107"/>
    </row>
    <row r="90" spans="2:38" ht="46.5" hidden="1" customHeight="1" thickBot="1">
      <c r="B90" s="656" t="s">
        <v>16</v>
      </c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8"/>
      <c r="AE90" s="4"/>
      <c r="AF90" s="4"/>
      <c r="AG90" s="4"/>
    </row>
    <row r="91" spans="2:38" ht="46.5" hidden="1" customHeight="1" thickTop="1" thickBot="1">
      <c r="B91" s="659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59"/>
      <c r="O91" s="108"/>
      <c r="P91" s="109"/>
      <c r="AF91" s="64"/>
    </row>
    <row r="92" spans="2:38" ht="16.5" hidden="1" customHeight="1" thickTop="1" thickBot="1">
      <c r="B92" s="661"/>
      <c r="C92" s="662"/>
      <c r="D92" s="662"/>
      <c r="E92" s="662"/>
      <c r="F92" s="662"/>
      <c r="G92" s="662"/>
      <c r="H92" s="662"/>
      <c r="I92" s="662"/>
      <c r="J92" s="662"/>
      <c r="K92" s="662"/>
      <c r="L92" s="662"/>
      <c r="M92" s="662"/>
      <c r="N92" s="110"/>
      <c r="O92" s="46"/>
      <c r="P92" s="111"/>
      <c r="AF92" s="64"/>
    </row>
    <row r="93" spans="2:38" ht="16.5" hidden="1" customHeight="1" thickTop="1" thickBot="1">
      <c r="B93" s="661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110"/>
      <c r="O93" s="46"/>
      <c r="P93" s="111"/>
      <c r="AF93" s="64"/>
    </row>
    <row r="94" spans="2:38" ht="16.5" hidden="1" customHeight="1" thickTop="1" thickBot="1">
      <c r="B94" s="661"/>
      <c r="C94" s="662"/>
      <c r="D94" s="662"/>
      <c r="E94" s="662"/>
      <c r="F94" s="662"/>
      <c r="G94" s="662"/>
      <c r="H94" s="662"/>
      <c r="I94" s="662"/>
      <c r="J94" s="662"/>
      <c r="K94" s="662"/>
      <c r="L94" s="662"/>
      <c r="M94" s="662"/>
      <c r="N94" s="110"/>
      <c r="O94" s="46"/>
      <c r="P94" s="111"/>
      <c r="AD94" s="103"/>
      <c r="AF94" s="64"/>
    </row>
    <row r="95" spans="2:38" ht="15.6" hidden="1" customHeight="1" thickTop="1" thickBot="1">
      <c r="B95" s="661"/>
      <c r="C95" s="662"/>
      <c r="D95" s="662"/>
      <c r="E95" s="662"/>
      <c r="F95" s="662"/>
      <c r="G95" s="662"/>
      <c r="H95" s="662"/>
      <c r="I95" s="662"/>
      <c r="J95" s="662"/>
      <c r="K95" s="662"/>
      <c r="L95" s="662"/>
      <c r="M95" s="662"/>
      <c r="N95" s="110"/>
      <c r="O95" s="46"/>
      <c r="P95" s="111"/>
      <c r="R95" s="29"/>
      <c r="S95" s="29"/>
      <c r="T95" s="29"/>
      <c r="U95" s="29"/>
      <c r="V95" s="29"/>
      <c r="W95" s="29"/>
      <c r="X95" s="29"/>
      <c r="Y95" s="29"/>
      <c r="AD95" s="103"/>
      <c r="AF95" s="64"/>
    </row>
    <row r="96" spans="2:38" ht="16.5" hidden="1" customHeight="1" thickTop="1" thickBot="1">
      <c r="B96" s="661"/>
      <c r="C96" s="662"/>
      <c r="D96" s="662"/>
      <c r="E96" s="662"/>
      <c r="F96" s="662"/>
      <c r="G96" s="662"/>
      <c r="H96" s="662"/>
      <c r="I96" s="662"/>
      <c r="J96" s="662"/>
      <c r="K96" s="662"/>
      <c r="L96" s="662"/>
      <c r="M96" s="662"/>
      <c r="N96" s="110"/>
      <c r="O96" s="46"/>
      <c r="P96" s="111"/>
      <c r="AD96" s="103"/>
      <c r="AF96" s="64"/>
    </row>
    <row r="97" spans="2:36" ht="16.5" hidden="1" customHeight="1" thickTop="1" thickBot="1">
      <c r="B97" s="661"/>
      <c r="C97" s="662"/>
      <c r="D97" s="662"/>
      <c r="E97" s="662"/>
      <c r="F97" s="662"/>
      <c r="G97" s="662"/>
      <c r="H97" s="662"/>
      <c r="I97" s="662"/>
      <c r="J97" s="662"/>
      <c r="K97" s="662"/>
      <c r="L97" s="662"/>
      <c r="M97" s="662"/>
      <c r="N97" s="110"/>
      <c r="O97" s="46"/>
      <c r="P97" s="111"/>
      <c r="AF97" s="64"/>
      <c r="AG97" s="17"/>
    </row>
    <row r="98" spans="2:36" ht="15.6" hidden="1" customHeight="1" thickTop="1" thickBot="1">
      <c r="B98" s="661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110"/>
      <c r="O98" s="46"/>
      <c r="P98" s="111"/>
      <c r="AE98" s="112"/>
      <c r="AF98" s="64"/>
      <c r="AG98" s="17"/>
      <c r="AI98" s="17"/>
    </row>
    <row r="99" spans="2:36" ht="16.5" hidden="1" customHeight="1" thickTop="1" thickBot="1">
      <c r="B99" s="661"/>
      <c r="C99" s="662"/>
      <c r="D99" s="662"/>
      <c r="E99" s="662"/>
      <c r="F99" s="662"/>
      <c r="G99" s="662"/>
      <c r="H99" s="662"/>
      <c r="I99" s="662"/>
      <c r="J99" s="662"/>
      <c r="K99" s="662"/>
      <c r="L99" s="662"/>
      <c r="M99" s="662"/>
      <c r="N99" s="110"/>
      <c r="O99" s="46"/>
      <c r="P99" s="111"/>
      <c r="AB99" s="113"/>
      <c r="AE99" s="112"/>
      <c r="AF99" s="64"/>
      <c r="AG99" s="17"/>
    </row>
    <row r="100" spans="2:36" ht="15.6" hidden="1" customHeight="1" thickTop="1" thickBot="1">
      <c r="B100" s="661"/>
      <c r="C100" s="662"/>
      <c r="D100" s="662"/>
      <c r="E100" s="662"/>
      <c r="F100" s="662"/>
      <c r="G100" s="662"/>
      <c r="H100" s="662"/>
      <c r="I100" s="662"/>
      <c r="J100" s="662"/>
      <c r="K100" s="662"/>
      <c r="L100" s="662"/>
      <c r="M100" s="662"/>
      <c r="N100" s="110"/>
      <c r="O100" s="46"/>
      <c r="P100" s="111"/>
      <c r="AE100" s="112"/>
      <c r="AF100" s="64"/>
      <c r="AG100" s="17"/>
    </row>
    <row r="101" spans="2:36" ht="16.5" hidden="1" customHeight="1" thickTop="1" thickBot="1">
      <c r="B101" s="663"/>
      <c r="C101" s="664"/>
      <c r="D101" s="664"/>
      <c r="E101" s="664"/>
      <c r="F101" s="664"/>
      <c r="G101" s="664"/>
      <c r="H101" s="664"/>
      <c r="I101" s="664"/>
      <c r="J101" s="664"/>
      <c r="K101" s="664"/>
      <c r="L101" s="664"/>
      <c r="M101" s="664"/>
      <c r="N101" s="110"/>
      <c r="O101" s="46"/>
      <c r="P101" s="111"/>
      <c r="R101" s="114"/>
      <c r="S101" s="114"/>
      <c r="T101" s="114"/>
      <c r="U101" s="114"/>
      <c r="V101" s="114"/>
      <c r="W101" s="114"/>
      <c r="X101" s="114"/>
      <c r="Y101" s="114"/>
      <c r="AF101" s="64"/>
    </row>
    <row r="102" spans="2:36" ht="9" customHeight="1" thickBot="1">
      <c r="B102" s="115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7"/>
      <c r="O102" s="117"/>
      <c r="P102" s="118"/>
      <c r="AE102" s="64"/>
      <c r="AF102" s="64"/>
      <c r="AG102" s="64"/>
      <c r="AI102" s="17"/>
      <c r="AJ102" s="17"/>
    </row>
    <row r="103" spans="2:36" ht="21.75" customHeight="1" thickBot="1">
      <c r="B103" s="119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630" t="s">
        <v>17</v>
      </c>
      <c r="O103" s="630"/>
      <c r="P103" s="631"/>
      <c r="AF103" s="64"/>
    </row>
    <row r="104" spans="2:36" ht="33.6" customHeight="1">
      <c r="B104" s="121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632" t="s">
        <v>291</v>
      </c>
      <c r="O104" s="632"/>
      <c r="P104" s="633"/>
      <c r="R104" t="s">
        <v>11</v>
      </c>
      <c r="AF104" s="64"/>
    </row>
    <row r="105" spans="2:36" ht="21.75" customHeight="1">
      <c r="B105" s="123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602"/>
      <c r="O105" s="602"/>
      <c r="P105" s="603"/>
      <c r="AF105" s="64"/>
    </row>
    <row r="106" spans="2:36" ht="21.75" customHeight="1">
      <c r="B106" s="123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602"/>
      <c r="O106" s="602"/>
      <c r="P106" s="603"/>
      <c r="AF106" s="64"/>
    </row>
    <row r="107" spans="2:36" ht="21.75" customHeight="1">
      <c r="B107" s="123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602"/>
      <c r="O107" s="602"/>
      <c r="P107" s="603"/>
      <c r="AF107" s="64"/>
    </row>
    <row r="108" spans="2:36" ht="21.75" customHeight="1">
      <c r="B108" s="123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602"/>
      <c r="O108" s="602"/>
      <c r="P108" s="603"/>
      <c r="AF108" s="64"/>
    </row>
    <row r="109" spans="2:36" ht="21.75" customHeight="1">
      <c r="B109" s="123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602"/>
      <c r="O109" s="602"/>
      <c r="P109" s="603"/>
      <c r="AF109" s="64"/>
    </row>
    <row r="110" spans="2:36" ht="21.75" customHeight="1">
      <c r="B110" s="123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602"/>
      <c r="O110" s="602"/>
      <c r="P110" s="603"/>
      <c r="AF110" s="64"/>
    </row>
    <row r="111" spans="2:36" ht="33" customHeight="1">
      <c r="B111" s="123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602"/>
      <c r="O111" s="602"/>
      <c r="P111" s="603"/>
      <c r="AF111" s="64"/>
    </row>
    <row r="112" spans="2:36" ht="79.2" customHeight="1" thickBot="1">
      <c r="B112" s="636"/>
      <c r="C112" s="637"/>
      <c r="D112" s="637"/>
      <c r="E112" s="637"/>
      <c r="F112" s="637"/>
      <c r="G112" s="125"/>
      <c r="H112" s="125"/>
      <c r="I112" s="125"/>
      <c r="J112" s="125"/>
      <c r="K112" s="125"/>
      <c r="L112" s="125"/>
      <c r="M112" s="125"/>
      <c r="N112" s="634"/>
      <c r="O112" s="634"/>
      <c r="P112" s="635"/>
      <c r="AF112" s="64"/>
    </row>
    <row r="113" spans="2:35" ht="21.75" customHeight="1">
      <c r="B113" s="126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8"/>
      <c r="O113" s="128"/>
      <c r="P113" s="129"/>
      <c r="AF113" s="64"/>
    </row>
    <row r="114" spans="2:35" ht="21.75" customHeight="1">
      <c r="B114" s="130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2"/>
      <c r="O114" s="132"/>
      <c r="P114" s="133"/>
      <c r="AF114" s="64"/>
    </row>
    <row r="115" spans="2:35" ht="21.75" customHeight="1">
      <c r="B115" s="130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2"/>
      <c r="O115" s="132"/>
      <c r="P115" s="133"/>
      <c r="AF115" s="64"/>
    </row>
    <row r="116" spans="2:35" ht="21.75" customHeight="1">
      <c r="B116" s="130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2"/>
      <c r="O116" s="132"/>
      <c r="P116" s="133"/>
      <c r="AF116" s="64"/>
    </row>
    <row r="117" spans="2:35" ht="21.75" customHeight="1">
      <c r="B117" s="130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2"/>
      <c r="O117" s="132"/>
      <c r="P117" s="133"/>
      <c r="AF117" s="64"/>
    </row>
    <row r="118" spans="2:35" ht="21.75" customHeight="1">
      <c r="B118" s="130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2"/>
      <c r="O118" s="132"/>
      <c r="P118" s="133"/>
      <c r="AF118" s="64"/>
    </row>
    <row r="119" spans="2:35" ht="21.75" customHeight="1">
      <c r="B119" s="130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2"/>
      <c r="O119" s="132"/>
      <c r="P119" s="133"/>
      <c r="AF119" s="64"/>
    </row>
    <row r="120" spans="2:35" ht="21.75" customHeight="1">
      <c r="B120" s="130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2"/>
      <c r="O120" s="132"/>
      <c r="P120" s="133"/>
      <c r="AF120" s="64"/>
    </row>
    <row r="121" spans="2:35" ht="14.4" customHeight="1" thickBot="1">
      <c r="B121" s="134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6"/>
      <c r="AE121" s="4"/>
      <c r="AF121" s="64"/>
      <c r="AG121" s="17"/>
      <c r="AI121" s="17"/>
    </row>
    <row r="122" spans="2:35" ht="14.4" customHeight="1">
      <c r="B122" s="137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9"/>
      <c r="AE122" s="4"/>
      <c r="AF122" s="64"/>
      <c r="AG122" s="17"/>
      <c r="AI122" s="17"/>
    </row>
    <row r="123" spans="2:35" ht="14.4" customHeight="1">
      <c r="B123" s="134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6"/>
      <c r="AE123" s="4"/>
      <c r="AF123" s="64"/>
      <c r="AG123" s="17"/>
      <c r="AI123" s="17"/>
    </row>
    <row r="124" spans="2:35" ht="14.4" customHeight="1">
      <c r="B124" s="134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6"/>
      <c r="AE124" s="4"/>
      <c r="AF124" s="64"/>
      <c r="AG124" s="17"/>
      <c r="AI124" s="17"/>
    </row>
    <row r="125" spans="2:35" ht="14.4" customHeight="1">
      <c r="B125" s="134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6"/>
      <c r="AE125" s="4"/>
      <c r="AF125" s="64"/>
      <c r="AG125" s="17"/>
      <c r="AI125" s="17"/>
    </row>
    <row r="126" spans="2:35" ht="14.4" customHeight="1">
      <c r="B126" s="134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6"/>
      <c r="AE126" s="4"/>
      <c r="AF126" s="64"/>
      <c r="AG126" s="17"/>
      <c r="AI126" s="17"/>
    </row>
    <row r="127" spans="2:35" ht="14.4" customHeight="1">
      <c r="B127" s="134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6"/>
      <c r="AE127" s="4"/>
      <c r="AF127" s="64"/>
      <c r="AG127" s="17"/>
      <c r="AI127" s="17"/>
    </row>
    <row r="128" spans="2:35" ht="14.4" customHeight="1">
      <c r="B128" s="134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6"/>
      <c r="AE128" s="4"/>
      <c r="AF128" s="64"/>
      <c r="AG128" s="17"/>
      <c r="AI128" s="17"/>
    </row>
    <row r="129" spans="2:37" ht="14.4" customHeight="1">
      <c r="B129" s="134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6"/>
      <c r="AE129" s="4"/>
      <c r="AF129" s="64"/>
      <c r="AG129" s="17"/>
      <c r="AI129" s="17"/>
    </row>
    <row r="130" spans="2:37" ht="14.4" customHeight="1">
      <c r="B130" s="134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6"/>
      <c r="AE130" s="4"/>
      <c r="AF130" s="64"/>
      <c r="AG130" s="17"/>
      <c r="AI130" s="17"/>
    </row>
    <row r="131" spans="2:37" ht="14.4" customHeight="1">
      <c r="B131" s="134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6"/>
      <c r="AE131" s="4"/>
      <c r="AF131" s="64"/>
      <c r="AG131" s="17"/>
      <c r="AI131" s="17"/>
    </row>
    <row r="132" spans="2:37" ht="14.4" customHeight="1">
      <c r="B132" s="134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6"/>
      <c r="AE132" s="4"/>
      <c r="AF132" s="64"/>
      <c r="AG132" s="17"/>
      <c r="AI132" s="17"/>
    </row>
    <row r="133" spans="2:37" ht="14.4" customHeight="1">
      <c r="B133" s="134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6"/>
      <c r="AE133" s="4"/>
      <c r="AF133" s="64"/>
      <c r="AG133" s="17"/>
      <c r="AI133" s="17"/>
    </row>
    <row r="134" spans="2:37" ht="16.5" customHeight="1">
      <c r="B134" s="134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6"/>
      <c r="AE134" s="4"/>
      <c r="AF134" s="64"/>
      <c r="AG134" s="17"/>
      <c r="AI134" s="17"/>
    </row>
    <row r="135" spans="2:37" ht="39" customHeight="1">
      <c r="B135" s="638" t="s">
        <v>297</v>
      </c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40"/>
      <c r="R135" t="s">
        <v>18</v>
      </c>
      <c r="AE135" s="4"/>
      <c r="AF135" s="64"/>
      <c r="AG135" s="17"/>
      <c r="AI135" s="17"/>
    </row>
    <row r="136" spans="2:37" ht="66" customHeight="1" thickBot="1">
      <c r="B136" s="641"/>
      <c r="C136" s="642"/>
      <c r="D136" s="642"/>
      <c r="E136" s="642"/>
      <c r="F136" s="642"/>
      <c r="G136" s="642"/>
      <c r="H136" s="642"/>
      <c r="I136" s="642"/>
      <c r="J136" s="642"/>
      <c r="K136" s="642"/>
      <c r="L136" s="642"/>
      <c r="M136" s="642"/>
      <c r="N136" s="642"/>
      <c r="O136" s="642"/>
      <c r="P136" s="643"/>
      <c r="AE136" s="4"/>
      <c r="AF136" s="64"/>
      <c r="AG136" s="17"/>
      <c r="AI136" s="17"/>
    </row>
    <row r="137" spans="2:37">
      <c r="B137" s="140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2"/>
      <c r="AE137" s="17"/>
      <c r="AF137" s="17"/>
      <c r="AG137" s="17"/>
    </row>
    <row r="138" spans="2:37" ht="34.5" customHeight="1">
      <c r="B138" s="621"/>
      <c r="C138" s="622"/>
      <c r="D138" s="622"/>
      <c r="E138" s="622"/>
      <c r="F138" s="622"/>
      <c r="G138" s="622"/>
      <c r="H138" s="622"/>
      <c r="I138" s="622"/>
      <c r="J138" s="622"/>
      <c r="K138" s="622"/>
      <c r="L138" s="622"/>
      <c r="M138" s="622"/>
      <c r="N138" s="622"/>
      <c r="O138" s="622"/>
      <c r="P138" s="623"/>
      <c r="AE138" s="4"/>
      <c r="AF138" s="64"/>
    </row>
    <row r="139" spans="2:37" ht="21" customHeight="1">
      <c r="B139" s="621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2"/>
      <c r="P139" s="623"/>
      <c r="AA139" s="1"/>
      <c r="AF139" s="64"/>
      <c r="AI139" s="17"/>
      <c r="AJ139" s="17"/>
      <c r="AK139" s="17"/>
    </row>
    <row r="140" spans="2:37">
      <c r="B140" s="621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3"/>
      <c r="AF140" s="64"/>
      <c r="AK140" s="17"/>
    </row>
    <row r="141" spans="2:37">
      <c r="B141" s="621"/>
      <c r="C141" s="622"/>
      <c r="D141" s="622"/>
      <c r="E141" s="622"/>
      <c r="F141" s="622"/>
      <c r="G141" s="622"/>
      <c r="H141" s="622"/>
      <c r="I141" s="622"/>
      <c r="J141" s="622"/>
      <c r="K141" s="622"/>
      <c r="L141" s="622"/>
      <c r="M141" s="622"/>
      <c r="N141" s="622"/>
      <c r="O141" s="622"/>
      <c r="P141" s="623"/>
      <c r="Z141" s="37"/>
      <c r="AF141" s="64"/>
    </row>
    <row r="142" spans="2:37">
      <c r="B142" s="621"/>
      <c r="C142" s="622"/>
      <c r="D142" s="622"/>
      <c r="E142" s="622"/>
      <c r="F142" s="622"/>
      <c r="G142" s="622"/>
      <c r="H142" s="622"/>
      <c r="I142" s="622"/>
      <c r="J142" s="622"/>
      <c r="K142" s="622"/>
      <c r="L142" s="622"/>
      <c r="M142" s="622"/>
      <c r="N142" s="622"/>
      <c r="O142" s="622"/>
      <c r="P142" s="623"/>
      <c r="AF142" s="64"/>
    </row>
    <row r="143" spans="2:37">
      <c r="B143" s="621"/>
      <c r="C143" s="622"/>
      <c r="D143" s="622"/>
      <c r="E143" s="622"/>
      <c r="F143" s="622"/>
      <c r="G143" s="622"/>
      <c r="H143" s="622"/>
      <c r="I143" s="622"/>
      <c r="J143" s="622"/>
      <c r="K143" s="622"/>
      <c r="L143" s="622"/>
      <c r="M143" s="622"/>
      <c r="N143" s="622"/>
      <c r="O143" s="622"/>
      <c r="P143" s="623"/>
      <c r="AF143" s="64"/>
    </row>
    <row r="144" spans="2:37" ht="19.5" customHeight="1">
      <c r="B144" s="621"/>
      <c r="C144" s="622"/>
      <c r="D144" s="622"/>
      <c r="E144" s="622"/>
      <c r="F144" s="622"/>
      <c r="G144" s="622"/>
      <c r="H144" s="622"/>
      <c r="I144" s="622"/>
      <c r="J144" s="622"/>
      <c r="K144" s="622"/>
      <c r="L144" s="622"/>
      <c r="M144" s="622"/>
      <c r="N144" s="622"/>
      <c r="O144" s="622"/>
      <c r="P144" s="623"/>
      <c r="AF144" s="64"/>
    </row>
    <row r="145" spans="2:32">
      <c r="B145" s="621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3"/>
      <c r="AF145" s="64"/>
    </row>
    <row r="146" spans="2:32">
      <c r="B146" s="621"/>
      <c r="C146" s="622"/>
      <c r="D146" s="622"/>
      <c r="E146" s="622"/>
      <c r="F146" s="622"/>
      <c r="G146" s="622"/>
      <c r="H146" s="622"/>
      <c r="I146" s="622"/>
      <c r="J146" s="622"/>
      <c r="K146" s="622"/>
      <c r="L146" s="622"/>
      <c r="M146" s="622"/>
      <c r="N146" s="622"/>
      <c r="O146" s="622"/>
      <c r="P146" s="623"/>
      <c r="AF146" s="64"/>
    </row>
    <row r="147" spans="2:32" ht="15" thickBot="1">
      <c r="B147" s="624"/>
      <c r="C147" s="625"/>
      <c r="D147" s="625"/>
      <c r="E147" s="625"/>
      <c r="F147" s="625"/>
      <c r="G147" s="625"/>
      <c r="H147" s="625"/>
      <c r="I147" s="625"/>
      <c r="J147" s="625"/>
      <c r="K147" s="625"/>
      <c r="L147" s="625"/>
      <c r="M147" s="625"/>
      <c r="N147" s="625"/>
      <c r="O147" s="625"/>
      <c r="P147" s="626"/>
      <c r="AF147" s="64"/>
    </row>
    <row r="148" spans="2:32" ht="30.75" hidden="1" customHeight="1">
      <c r="B148" s="627" t="s">
        <v>19</v>
      </c>
      <c r="C148" s="622"/>
      <c r="D148" s="622"/>
      <c r="E148" s="622"/>
      <c r="F148" s="622"/>
      <c r="G148" s="622"/>
      <c r="H148" s="622"/>
      <c r="I148" s="622"/>
      <c r="J148" s="622"/>
      <c r="K148" s="622"/>
      <c r="L148" s="622"/>
      <c r="M148" s="622"/>
      <c r="N148" s="622"/>
      <c r="O148" s="622"/>
      <c r="P148" s="628"/>
      <c r="AF148" s="64"/>
    </row>
    <row r="149" spans="2:32" ht="52.5" hidden="1" customHeight="1" thickTop="1" thickBot="1">
      <c r="B149" s="627"/>
      <c r="C149" s="622"/>
      <c r="D149" s="622"/>
      <c r="E149" s="622"/>
      <c r="F149" s="622"/>
      <c r="G149" s="622"/>
      <c r="H149" s="622"/>
      <c r="I149" s="622"/>
      <c r="J149" s="622"/>
      <c r="K149" s="622"/>
      <c r="L149" s="622"/>
      <c r="M149" s="622"/>
      <c r="N149" s="622"/>
      <c r="O149" s="622"/>
      <c r="P149" s="628"/>
      <c r="AF149" s="64"/>
    </row>
    <row r="150" spans="2:32" ht="15" hidden="1" customHeight="1" thickTop="1" thickBot="1">
      <c r="B150" s="622"/>
      <c r="C150" s="622"/>
      <c r="D150" s="622"/>
      <c r="E150" s="622"/>
      <c r="F150" s="622"/>
      <c r="G150" s="622"/>
      <c r="H150" s="622"/>
      <c r="I150" s="622"/>
      <c r="J150" s="622"/>
      <c r="K150" s="622"/>
      <c r="L150" s="622"/>
      <c r="M150" s="622"/>
      <c r="N150" s="622"/>
      <c r="O150" s="622"/>
      <c r="P150" s="622"/>
      <c r="AF150" s="64"/>
    </row>
    <row r="151" spans="2:32" ht="31.5" hidden="1" customHeight="1" thickTop="1" thickBot="1"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AF151" s="64"/>
    </row>
    <row r="152" spans="2:32" ht="39" hidden="1" customHeight="1" thickTop="1" thickBot="1"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29"/>
      <c r="P152" s="629"/>
      <c r="AF152" s="64"/>
    </row>
    <row r="153" spans="2:32" ht="15" hidden="1" customHeight="1" thickTop="1" thickBot="1">
      <c r="B153" s="610" t="s">
        <v>20</v>
      </c>
      <c r="C153" s="611"/>
      <c r="D153" s="611"/>
      <c r="E153" s="611"/>
      <c r="F153" s="611"/>
      <c r="G153" s="611"/>
      <c r="H153" s="611"/>
      <c r="I153" s="611"/>
      <c r="J153" s="611"/>
      <c r="K153" s="611"/>
      <c r="L153" s="611"/>
      <c r="M153" s="611"/>
      <c r="N153" s="611"/>
      <c r="O153" s="611"/>
      <c r="P153" s="612"/>
      <c r="AF153" s="64"/>
    </row>
    <row r="154" spans="2:32" ht="18.75" hidden="1" customHeight="1" thickTop="1" thickBot="1">
      <c r="B154" s="613"/>
      <c r="C154" s="614"/>
      <c r="D154" s="614"/>
      <c r="E154" s="614"/>
      <c r="F154" s="614"/>
      <c r="G154" s="614"/>
      <c r="H154" s="614"/>
      <c r="I154" s="614"/>
      <c r="J154" s="614"/>
      <c r="K154" s="614"/>
      <c r="L154" s="614"/>
      <c r="M154" s="614"/>
      <c r="N154" s="614"/>
      <c r="O154" s="614"/>
      <c r="P154" s="615"/>
      <c r="AF154" s="64"/>
    </row>
    <row r="155" spans="2:32" ht="30.75" hidden="1" customHeight="1" thickTop="1" thickBot="1"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AF155" s="64"/>
    </row>
    <row r="156" spans="2:32" ht="15" hidden="1" thickBot="1">
      <c r="B156" s="608"/>
      <c r="C156" s="608"/>
      <c r="D156" s="608"/>
      <c r="E156" s="608"/>
      <c r="F156" s="608"/>
      <c r="G156" s="608"/>
      <c r="H156" s="608"/>
      <c r="I156" s="608"/>
      <c r="J156" s="608"/>
      <c r="K156" s="608"/>
      <c r="L156" s="608"/>
      <c r="M156" s="608"/>
      <c r="N156" s="608"/>
      <c r="O156" s="608"/>
      <c r="P156" s="608"/>
      <c r="AF156" s="64"/>
    </row>
    <row r="157" spans="2:32" ht="22.2" hidden="1" thickTop="1" thickBot="1">
      <c r="B157" s="609" t="s">
        <v>21</v>
      </c>
      <c r="C157" s="609"/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AF157" s="64"/>
    </row>
    <row r="158" spans="2:32" ht="15" hidden="1" thickTop="1">
      <c r="B158" s="143"/>
      <c r="C158" s="144"/>
      <c r="D158" s="144"/>
      <c r="E158" s="144"/>
      <c r="F158" s="144"/>
      <c r="G158" s="144"/>
      <c r="H158" s="145"/>
      <c r="I158" s="144"/>
      <c r="J158" s="144"/>
      <c r="K158" s="144"/>
      <c r="L158" s="144"/>
      <c r="M158" s="144"/>
      <c r="N158" s="144"/>
      <c r="O158" s="144"/>
      <c r="P158" s="145"/>
      <c r="AF158" s="64"/>
    </row>
    <row r="159" spans="2:32" hidden="1">
      <c r="B159" s="146"/>
      <c r="H159" s="147"/>
      <c r="P159" s="147"/>
      <c r="AF159" s="64"/>
    </row>
    <row r="160" spans="2:32" hidden="1">
      <c r="B160" s="146"/>
      <c r="H160" s="147"/>
      <c r="P160" s="147"/>
      <c r="AA160" s="112"/>
      <c r="AF160" s="64"/>
    </row>
    <row r="161" spans="2:32" hidden="1">
      <c r="B161" s="146"/>
      <c r="H161" s="147"/>
      <c r="P161" s="147"/>
      <c r="AA161" s="99"/>
      <c r="AC161" s="112"/>
      <c r="AD161" s="17"/>
      <c r="AF161" s="64"/>
    </row>
    <row r="162" spans="2:32" hidden="1">
      <c r="B162" s="146"/>
      <c r="H162" s="147"/>
      <c r="P162" s="147"/>
      <c r="AF162" s="64"/>
    </row>
    <row r="163" spans="2:32" hidden="1">
      <c r="B163" s="146"/>
      <c r="H163" s="147"/>
      <c r="P163" s="147"/>
      <c r="AA163" s="112"/>
      <c r="AF163" s="64"/>
    </row>
    <row r="164" spans="2:32" hidden="1">
      <c r="B164" s="146"/>
      <c r="H164" s="147"/>
      <c r="P164" s="147"/>
      <c r="AF164" s="64"/>
    </row>
    <row r="165" spans="2:32" hidden="1">
      <c r="B165" s="146"/>
      <c r="H165" s="147"/>
      <c r="P165" s="147"/>
      <c r="AF165" s="64"/>
    </row>
    <row r="166" spans="2:32" hidden="1">
      <c r="B166" s="146"/>
      <c r="H166" s="147"/>
      <c r="P166" s="147"/>
      <c r="AF166" s="64"/>
    </row>
    <row r="167" spans="2:32" hidden="1">
      <c r="B167" s="146"/>
      <c r="H167" s="147"/>
      <c r="P167" s="147"/>
      <c r="AF167" s="64"/>
    </row>
    <row r="168" spans="2:32" hidden="1">
      <c r="B168" s="146"/>
      <c r="H168" s="147"/>
      <c r="P168" s="147"/>
      <c r="AA168" s="112"/>
      <c r="AF168" s="64"/>
    </row>
    <row r="169" spans="2:32" hidden="1">
      <c r="B169" s="146"/>
      <c r="H169" s="147"/>
      <c r="P169" s="147"/>
      <c r="AF169" s="64"/>
    </row>
    <row r="170" spans="2:32" hidden="1">
      <c r="B170" s="146"/>
      <c r="H170" s="147"/>
      <c r="P170" s="147"/>
      <c r="AF170" s="64"/>
    </row>
    <row r="171" spans="2:32" ht="13.5" hidden="1" customHeight="1" thickTop="1" thickBot="1">
      <c r="B171" s="146"/>
      <c r="H171" s="147"/>
      <c r="P171" s="147"/>
      <c r="AF171" s="64"/>
    </row>
    <row r="172" spans="2:32" hidden="1">
      <c r="B172" s="146"/>
      <c r="H172" s="147"/>
      <c r="P172" s="147"/>
      <c r="AF172" s="64"/>
    </row>
    <row r="173" spans="2:32" ht="15" hidden="1" thickBot="1">
      <c r="B173" s="148"/>
      <c r="C173" s="149"/>
      <c r="D173" s="149"/>
      <c r="E173" s="149"/>
      <c r="F173" s="149"/>
      <c r="G173" s="149"/>
      <c r="H173" s="150"/>
      <c r="I173" s="149"/>
      <c r="J173" s="149"/>
      <c r="K173" s="149"/>
      <c r="L173" s="149"/>
      <c r="M173" s="149"/>
      <c r="N173" s="149"/>
      <c r="O173" s="149"/>
      <c r="P173" s="150"/>
      <c r="AF173" s="64"/>
    </row>
    <row r="174" spans="2:32" hidden="1">
      <c r="B174" s="610"/>
      <c r="C174" s="611"/>
      <c r="D174" s="611"/>
      <c r="E174" s="611"/>
      <c r="F174" s="611"/>
      <c r="G174" s="611"/>
      <c r="H174" s="611"/>
      <c r="I174" s="611"/>
      <c r="J174" s="611"/>
      <c r="K174" s="611"/>
      <c r="L174" s="611"/>
      <c r="M174" s="611"/>
      <c r="N174" s="611"/>
      <c r="O174" s="611"/>
      <c r="P174" s="612"/>
      <c r="AF174" s="64"/>
    </row>
    <row r="175" spans="2:32" ht="15" hidden="1" thickBot="1">
      <c r="B175" s="613"/>
      <c r="C175" s="614"/>
      <c r="D175" s="614"/>
      <c r="E175" s="614"/>
      <c r="F175" s="614"/>
      <c r="G175" s="614"/>
      <c r="H175" s="614"/>
      <c r="I175" s="614"/>
      <c r="J175" s="614"/>
      <c r="K175" s="614"/>
      <c r="L175" s="614"/>
      <c r="M175" s="614"/>
      <c r="N175" s="614"/>
      <c r="O175" s="614"/>
      <c r="P175" s="615"/>
      <c r="AF175" s="64"/>
    </row>
    <row r="176" spans="2:32" ht="15" thickBot="1">
      <c r="AF176" s="64"/>
    </row>
    <row r="177" spans="2:32" ht="22.2" thickTop="1" thickBot="1">
      <c r="B177" s="616" t="s">
        <v>22</v>
      </c>
      <c r="C177" s="617"/>
      <c r="D177" s="617"/>
      <c r="E177" s="617"/>
      <c r="F177" s="617"/>
      <c r="G177" s="617"/>
      <c r="H177" s="617"/>
      <c r="I177" s="617"/>
      <c r="J177" s="617"/>
      <c r="K177" s="617"/>
      <c r="L177" s="617"/>
      <c r="M177" s="617"/>
      <c r="N177" s="617"/>
      <c r="O177" s="617"/>
      <c r="P177" s="618"/>
      <c r="AF177" s="64"/>
    </row>
    <row r="178" spans="2:32" ht="22.2" thickTop="1" thickBot="1">
      <c r="B178" s="619" t="s">
        <v>23</v>
      </c>
      <c r="C178" s="546"/>
      <c r="D178" s="546"/>
      <c r="E178" s="546"/>
      <c r="F178" s="546"/>
      <c r="G178" s="546"/>
      <c r="H178" s="546"/>
      <c r="I178" s="151"/>
      <c r="J178" s="546" t="s">
        <v>24</v>
      </c>
      <c r="K178" s="546"/>
      <c r="L178" s="546"/>
      <c r="M178" s="546"/>
      <c r="N178" s="546"/>
      <c r="O178" s="546"/>
      <c r="P178" s="620"/>
      <c r="AF178" s="64"/>
    </row>
    <row r="179" spans="2:32" ht="15" thickTop="1">
      <c r="B179" s="577"/>
      <c r="C179" s="578"/>
      <c r="D179" s="578"/>
      <c r="E179" s="578"/>
      <c r="F179" s="578"/>
      <c r="G179" s="578"/>
      <c r="H179" s="578"/>
      <c r="I179" s="578"/>
      <c r="J179" s="578"/>
      <c r="K179" s="578"/>
      <c r="L179" s="578"/>
      <c r="M179" s="578"/>
      <c r="N179" s="152"/>
      <c r="O179" s="153"/>
      <c r="P179" s="154"/>
      <c r="AF179" s="64"/>
    </row>
    <row r="180" spans="2:32">
      <c r="B180" s="579"/>
      <c r="C180" s="580"/>
      <c r="D180" s="580"/>
      <c r="E180" s="580"/>
      <c r="F180" s="580"/>
      <c r="G180" s="580"/>
      <c r="H180" s="580"/>
      <c r="I180" s="580"/>
      <c r="J180" s="580"/>
      <c r="K180" s="580"/>
      <c r="L180" s="580"/>
      <c r="M180" s="580"/>
      <c r="N180" s="155"/>
      <c r="O180" s="155"/>
      <c r="P180" s="156"/>
      <c r="AF180" s="64"/>
    </row>
    <row r="181" spans="2:32">
      <c r="B181" s="579"/>
      <c r="C181" s="580"/>
      <c r="D181" s="580"/>
      <c r="E181" s="580"/>
      <c r="F181" s="580"/>
      <c r="G181" s="580"/>
      <c r="H181" s="580"/>
      <c r="I181" s="580"/>
      <c r="J181" s="580"/>
      <c r="K181" s="580"/>
      <c r="L181" s="580"/>
      <c r="M181" s="580"/>
      <c r="N181" s="155"/>
      <c r="O181" s="155"/>
      <c r="P181" s="156"/>
      <c r="AF181" s="64"/>
    </row>
    <row r="182" spans="2:32">
      <c r="B182" s="579"/>
      <c r="C182" s="580"/>
      <c r="D182" s="580"/>
      <c r="E182" s="580"/>
      <c r="F182" s="580"/>
      <c r="G182" s="580"/>
      <c r="H182" s="580"/>
      <c r="I182" s="580"/>
      <c r="J182" s="580"/>
      <c r="K182" s="580"/>
      <c r="L182" s="580"/>
      <c r="M182" s="580"/>
      <c r="N182" s="155"/>
      <c r="O182" s="155"/>
      <c r="P182" s="156"/>
    </row>
    <row r="183" spans="2:32">
      <c r="B183" s="579"/>
      <c r="C183" s="580"/>
      <c r="D183" s="580"/>
      <c r="E183" s="580"/>
      <c r="F183" s="580"/>
      <c r="G183" s="580"/>
      <c r="H183" s="580"/>
      <c r="I183" s="580"/>
      <c r="J183" s="580"/>
      <c r="K183" s="580"/>
      <c r="L183" s="580"/>
      <c r="M183" s="580"/>
      <c r="N183" s="155"/>
      <c r="O183" s="155"/>
      <c r="P183" s="156"/>
    </row>
    <row r="184" spans="2:32">
      <c r="B184" s="579"/>
      <c r="C184" s="580"/>
      <c r="D184" s="580"/>
      <c r="E184" s="580"/>
      <c r="F184" s="580"/>
      <c r="G184" s="580"/>
      <c r="H184" s="580"/>
      <c r="I184" s="580"/>
      <c r="J184" s="580"/>
      <c r="K184" s="580"/>
      <c r="L184" s="580"/>
      <c r="M184" s="580"/>
      <c r="N184" s="155"/>
      <c r="O184" s="155"/>
      <c r="P184" s="156"/>
    </row>
    <row r="185" spans="2:32">
      <c r="B185" s="579"/>
      <c r="C185" s="580"/>
      <c r="D185" s="580"/>
      <c r="E185" s="580"/>
      <c r="F185" s="580"/>
      <c r="G185" s="580"/>
      <c r="H185" s="580"/>
      <c r="I185" s="580"/>
      <c r="J185" s="580"/>
      <c r="K185" s="580"/>
      <c r="L185" s="580"/>
      <c r="M185" s="580"/>
      <c r="N185" s="155"/>
      <c r="O185" s="155"/>
      <c r="P185" s="156"/>
    </row>
    <row r="186" spans="2:32">
      <c r="B186" s="579"/>
      <c r="C186" s="580"/>
      <c r="D186" s="580"/>
      <c r="E186" s="580"/>
      <c r="F186" s="580"/>
      <c r="G186" s="580"/>
      <c r="H186" s="580"/>
      <c r="I186" s="580"/>
      <c r="J186" s="580"/>
      <c r="K186" s="580"/>
      <c r="L186" s="580"/>
      <c r="M186" s="580"/>
      <c r="N186" s="155"/>
      <c r="O186" s="155"/>
      <c r="P186" s="156"/>
    </row>
    <row r="187" spans="2:32" ht="10.5" customHeight="1">
      <c r="B187" s="579"/>
      <c r="C187" s="580"/>
      <c r="D187" s="580"/>
      <c r="E187" s="580"/>
      <c r="F187" s="580"/>
      <c r="G187" s="580"/>
      <c r="H187" s="580"/>
      <c r="I187" s="580"/>
      <c r="J187" s="580"/>
      <c r="K187" s="580"/>
      <c r="L187" s="580"/>
      <c r="M187" s="580"/>
      <c r="N187" s="155"/>
      <c r="O187" s="155"/>
      <c r="P187" s="156"/>
    </row>
    <row r="188" spans="2:32">
      <c r="B188" s="579"/>
      <c r="C188" s="580"/>
      <c r="D188" s="580"/>
      <c r="E188" s="580"/>
      <c r="F188" s="580"/>
      <c r="G188" s="580"/>
      <c r="H188" s="580"/>
      <c r="I188" s="580"/>
      <c r="J188" s="580"/>
      <c r="K188" s="580"/>
      <c r="L188" s="580"/>
      <c r="M188" s="580"/>
      <c r="N188" s="155"/>
      <c r="O188" s="155"/>
      <c r="P188" s="156"/>
    </row>
    <row r="189" spans="2:32" ht="15" thickBot="1">
      <c r="B189" s="581"/>
      <c r="C189" s="582"/>
      <c r="D189" s="582"/>
      <c r="E189" s="582"/>
      <c r="F189" s="582"/>
      <c r="G189" s="582"/>
      <c r="H189" s="582"/>
      <c r="I189" s="582"/>
      <c r="J189" s="582"/>
      <c r="K189" s="582"/>
      <c r="L189" s="582"/>
      <c r="M189" s="582"/>
      <c r="N189" s="157"/>
      <c r="O189" s="157"/>
      <c r="P189" s="158"/>
    </row>
    <row r="190" spans="2:32" ht="15" thickTop="1">
      <c r="B190" s="159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1"/>
    </row>
    <row r="191" spans="2:32">
      <c r="B191" s="162"/>
      <c r="P191" s="163"/>
    </row>
    <row r="192" spans="2:32">
      <c r="B192" s="162"/>
      <c r="P192" s="163"/>
    </row>
    <row r="193" spans="2:32">
      <c r="B193" s="162"/>
      <c r="P193" s="163"/>
    </row>
    <row r="194" spans="2:32">
      <c r="B194" s="162"/>
      <c r="P194" s="163"/>
    </row>
    <row r="195" spans="2:32">
      <c r="B195" s="162"/>
      <c r="P195" s="163"/>
    </row>
    <row r="196" spans="2:32">
      <c r="B196" s="162"/>
      <c r="P196" s="163"/>
    </row>
    <row r="197" spans="2:32">
      <c r="B197" s="162"/>
      <c r="P197" s="163"/>
      <c r="R197" s="164"/>
      <c r="S197" s="164"/>
      <c r="T197" s="164"/>
      <c r="U197" s="164"/>
      <c r="V197" s="164"/>
      <c r="W197" s="164"/>
      <c r="X197" s="164"/>
      <c r="Y197" s="164"/>
    </row>
    <row r="198" spans="2:32">
      <c r="B198" s="162"/>
      <c r="P198" s="163"/>
    </row>
    <row r="199" spans="2:32">
      <c r="B199" s="162"/>
      <c r="P199" s="163"/>
    </row>
    <row r="200" spans="2:32">
      <c r="B200" s="162"/>
      <c r="P200" s="163"/>
    </row>
    <row r="201" spans="2:32">
      <c r="B201" s="162"/>
      <c r="P201" s="163"/>
    </row>
    <row r="202" spans="2:32" ht="15" thickBot="1">
      <c r="B202" s="162"/>
      <c r="P202" s="163"/>
    </row>
    <row r="203" spans="2:32" ht="12" customHeight="1">
      <c r="B203" s="140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2"/>
    </row>
    <row r="204" spans="2:32" ht="15" hidden="1" thickTop="1">
      <c r="B204" s="583"/>
      <c r="C204" s="584"/>
      <c r="D204" s="584"/>
      <c r="E204" s="584"/>
      <c r="F204" s="584"/>
      <c r="G204" s="584"/>
      <c r="H204" s="584"/>
      <c r="I204" s="584"/>
      <c r="J204" s="584"/>
      <c r="K204" s="584"/>
      <c r="L204" s="584"/>
      <c r="M204" s="584"/>
      <c r="N204" s="584"/>
      <c r="O204" s="584"/>
      <c r="P204" s="585"/>
    </row>
    <row r="205" spans="2:32" ht="16.95" hidden="1" customHeight="1">
      <c r="B205" s="165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166"/>
      <c r="AB205" s="4"/>
      <c r="AC205" s="4"/>
    </row>
    <row r="206" spans="2:32" ht="16.95" hidden="1" customHeight="1">
      <c r="B206" s="165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166"/>
      <c r="AB206" s="4"/>
      <c r="AC206" s="4"/>
    </row>
    <row r="207" spans="2:32" ht="16.95" hidden="1" customHeight="1">
      <c r="B207" s="165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166"/>
      <c r="AB207" s="4"/>
      <c r="AC207" s="4"/>
    </row>
    <row r="208" spans="2:32" ht="231.75" customHeight="1">
      <c r="B208" s="167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111"/>
      <c r="R208" s="74"/>
      <c r="S208" s="74"/>
      <c r="T208" s="74"/>
      <c r="U208" s="74"/>
      <c r="V208" s="74"/>
      <c r="W208" s="74"/>
      <c r="X208" s="74"/>
      <c r="Y208" s="74"/>
      <c r="AF208"/>
    </row>
    <row r="209" spans="2:32" ht="15.75" hidden="1" customHeight="1" thickBot="1">
      <c r="B209" s="167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111"/>
      <c r="AB209" s="29"/>
      <c r="AC209" s="4"/>
    </row>
    <row r="210" spans="2:32" ht="5.25" hidden="1" customHeight="1" thickBot="1">
      <c r="B210" s="586"/>
      <c r="C210" s="587"/>
      <c r="D210" s="587"/>
      <c r="E210" s="587"/>
      <c r="F210" s="587"/>
      <c r="G210" s="587"/>
      <c r="H210" s="587"/>
      <c r="I210" s="587"/>
      <c r="J210" s="587"/>
      <c r="K210" s="587"/>
      <c r="L210" s="587"/>
      <c r="M210" s="587"/>
      <c r="N210" s="587"/>
      <c r="O210" s="587"/>
      <c r="P210" s="588"/>
      <c r="AB210" s="4"/>
      <c r="AC210" s="4"/>
      <c r="AF210"/>
    </row>
    <row r="211" spans="2:32" ht="0.75" hidden="1" customHeight="1" thickBot="1">
      <c r="B211" s="168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70"/>
      <c r="AB211" s="16"/>
      <c r="AC211" s="16"/>
      <c r="AF211"/>
    </row>
    <row r="212" spans="2:32" ht="6.75" hidden="1" customHeight="1" thickBot="1">
      <c r="B212" s="171"/>
      <c r="P212" s="172"/>
      <c r="AB212" s="16"/>
      <c r="AC212" s="16"/>
      <c r="AF212"/>
    </row>
    <row r="213" spans="2:32" ht="22.5" hidden="1" customHeight="1" thickBot="1">
      <c r="B213" s="589" t="s">
        <v>25</v>
      </c>
      <c r="C213" s="590"/>
      <c r="D213" s="590"/>
      <c r="E213" s="590"/>
      <c r="F213" s="590"/>
      <c r="G213" s="590"/>
      <c r="H213" s="590"/>
      <c r="I213" s="590"/>
      <c r="J213" s="590"/>
      <c r="K213" s="590"/>
      <c r="L213" s="590"/>
      <c r="M213" s="590"/>
      <c r="N213" s="590"/>
      <c r="O213" s="590"/>
      <c r="P213" s="591"/>
      <c r="AA213" s="34"/>
      <c r="AB213" s="173"/>
      <c r="AC213" s="173"/>
      <c r="AF213"/>
    </row>
    <row r="214" spans="2:32" ht="45.75" hidden="1" customHeight="1" thickBot="1">
      <c r="B214" s="174"/>
      <c r="C214" s="175"/>
      <c r="D214" s="175"/>
      <c r="E214" s="592"/>
      <c r="F214" s="592"/>
      <c r="G214" s="592"/>
      <c r="H214" s="593"/>
      <c r="I214" s="598"/>
      <c r="J214" s="599"/>
      <c r="K214" s="599"/>
      <c r="L214" s="599"/>
      <c r="M214" s="599"/>
      <c r="N214" s="599"/>
      <c r="O214" s="599"/>
      <c r="P214" s="600"/>
      <c r="AF214"/>
    </row>
    <row r="215" spans="2:32" ht="15.75" hidden="1" customHeight="1" thickBot="1">
      <c r="B215" s="176"/>
      <c r="C215" s="97"/>
      <c r="D215" s="97"/>
      <c r="E215" s="594"/>
      <c r="F215" s="594"/>
      <c r="G215" s="594"/>
      <c r="H215" s="595"/>
      <c r="I215" s="601"/>
      <c r="J215" s="602"/>
      <c r="K215" s="602"/>
      <c r="L215" s="602"/>
      <c r="M215" s="602"/>
      <c r="N215" s="602"/>
      <c r="O215" s="602"/>
      <c r="P215" s="603"/>
      <c r="AF215"/>
    </row>
    <row r="216" spans="2:32" ht="15.75" hidden="1" customHeight="1" thickBot="1">
      <c r="B216" s="176"/>
      <c r="C216" s="97"/>
      <c r="D216" s="97"/>
      <c r="E216" s="594"/>
      <c r="F216" s="594"/>
      <c r="G216" s="594"/>
      <c r="H216" s="595"/>
      <c r="I216" s="601"/>
      <c r="J216" s="602"/>
      <c r="K216" s="602"/>
      <c r="L216" s="602"/>
      <c r="M216" s="602"/>
      <c r="N216" s="602"/>
      <c r="O216" s="602"/>
      <c r="P216" s="603"/>
      <c r="AF216"/>
    </row>
    <row r="217" spans="2:32" ht="94.5" hidden="1" customHeight="1" thickBot="1">
      <c r="B217" s="176"/>
      <c r="C217" s="97"/>
      <c r="D217" s="97"/>
      <c r="E217" s="594"/>
      <c r="F217" s="594"/>
      <c r="G217" s="594"/>
      <c r="H217" s="595"/>
      <c r="I217" s="601"/>
      <c r="J217" s="602"/>
      <c r="K217" s="602"/>
      <c r="L217" s="602"/>
      <c r="M217" s="602"/>
      <c r="N217" s="602"/>
      <c r="O217" s="602"/>
      <c r="P217" s="603"/>
      <c r="AF217"/>
    </row>
    <row r="218" spans="2:32" ht="15.75" hidden="1" customHeight="1" thickBot="1">
      <c r="B218" s="176"/>
      <c r="C218" s="97"/>
      <c r="D218" s="97"/>
      <c r="E218" s="594"/>
      <c r="F218" s="594"/>
      <c r="G218" s="594"/>
      <c r="H218" s="595"/>
      <c r="I218" s="601"/>
      <c r="J218" s="602"/>
      <c r="K218" s="602"/>
      <c r="L218" s="602"/>
      <c r="M218" s="602"/>
      <c r="N218" s="602"/>
      <c r="O218" s="602"/>
      <c r="P218" s="603"/>
      <c r="AF218"/>
    </row>
    <row r="219" spans="2:32" ht="16.5" hidden="1" customHeight="1" thickBot="1">
      <c r="B219" s="176"/>
      <c r="C219" s="97"/>
      <c r="D219" s="97"/>
      <c r="E219" s="594"/>
      <c r="F219" s="594"/>
      <c r="G219" s="594"/>
      <c r="H219" s="595"/>
      <c r="I219" s="601"/>
      <c r="J219" s="602"/>
      <c r="K219" s="602"/>
      <c r="L219" s="602"/>
      <c r="M219" s="602"/>
      <c r="N219" s="602"/>
      <c r="O219" s="602"/>
      <c r="P219" s="603"/>
      <c r="AF219"/>
    </row>
    <row r="220" spans="2:32" ht="15.6" hidden="1" customHeight="1" thickBot="1">
      <c r="B220" s="176"/>
      <c r="C220" s="97"/>
      <c r="D220" s="97"/>
      <c r="E220" s="594"/>
      <c r="F220" s="594"/>
      <c r="G220" s="594"/>
      <c r="H220" s="595"/>
      <c r="I220" s="601"/>
      <c r="J220" s="602"/>
      <c r="K220" s="602"/>
      <c r="L220" s="602"/>
      <c r="M220" s="602"/>
      <c r="N220" s="602"/>
      <c r="O220" s="602"/>
      <c r="P220" s="603"/>
      <c r="AF220"/>
    </row>
    <row r="221" spans="2:32" ht="63.75" hidden="1" customHeight="1" thickBot="1">
      <c r="B221" s="176"/>
      <c r="C221" s="97"/>
      <c r="D221" s="97"/>
      <c r="E221" s="594"/>
      <c r="F221" s="594"/>
      <c r="G221" s="594"/>
      <c r="H221" s="595"/>
      <c r="I221" s="601"/>
      <c r="J221" s="602"/>
      <c r="K221" s="602"/>
      <c r="L221" s="602"/>
      <c r="M221" s="602"/>
      <c r="N221" s="602"/>
      <c r="O221" s="602"/>
      <c r="P221" s="603"/>
      <c r="AF221"/>
    </row>
    <row r="222" spans="2:32" ht="15" hidden="1" thickBot="1">
      <c r="B222" s="177"/>
      <c r="C222" s="178"/>
      <c r="D222" s="178"/>
      <c r="E222" s="596"/>
      <c r="F222" s="596"/>
      <c r="G222" s="596"/>
      <c r="H222" s="597"/>
      <c r="I222" s="604"/>
      <c r="J222" s="605"/>
      <c r="K222" s="605"/>
      <c r="L222" s="605"/>
      <c r="M222" s="605"/>
      <c r="N222" s="605"/>
      <c r="O222" s="605"/>
      <c r="P222" s="606"/>
      <c r="AF222"/>
    </row>
    <row r="223" spans="2:32" ht="9" hidden="1" customHeight="1" thickBot="1">
      <c r="B223" s="566" t="s">
        <v>26</v>
      </c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8"/>
      <c r="AF223"/>
    </row>
    <row r="224" spans="2:32" ht="15.75" hidden="1" customHeight="1" thickBot="1">
      <c r="B224" s="569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0"/>
      <c r="P224" s="571"/>
      <c r="AF224"/>
    </row>
    <row r="225" spans="2:32" ht="15.75" hidden="1" customHeight="1" thickBot="1">
      <c r="B225" s="179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1"/>
      <c r="AF225"/>
    </row>
    <row r="226" spans="2:32" ht="12.75" hidden="1" customHeight="1" thickBot="1">
      <c r="B226" s="171"/>
      <c r="P226" s="172"/>
      <c r="AF226"/>
    </row>
    <row r="227" spans="2:32" ht="21" hidden="1">
      <c r="B227" s="572" t="s">
        <v>27</v>
      </c>
      <c r="C227" s="573"/>
      <c r="D227" s="573"/>
      <c r="E227" s="573"/>
      <c r="F227" s="573"/>
      <c r="G227" s="573"/>
      <c r="H227" s="573"/>
      <c r="I227" s="573"/>
      <c r="J227" s="573"/>
      <c r="K227" s="573"/>
      <c r="L227" s="573"/>
      <c r="M227" s="573"/>
      <c r="N227" s="573"/>
      <c r="O227" s="573"/>
      <c r="P227" s="574"/>
      <c r="AF227"/>
    </row>
    <row r="228" spans="2:32" ht="23.25" hidden="1" customHeight="1" thickBot="1">
      <c r="B228" s="548" t="s">
        <v>28</v>
      </c>
      <c r="C228" s="575"/>
      <c r="D228" s="575"/>
      <c r="E228" s="575"/>
      <c r="F228" s="575"/>
      <c r="G228" s="575"/>
      <c r="H228" s="575"/>
      <c r="I228" s="575"/>
      <c r="J228" s="575"/>
      <c r="K228" s="575"/>
      <c r="L228" s="575"/>
      <c r="M228" s="575"/>
      <c r="N228" s="575"/>
      <c r="O228" s="575"/>
      <c r="P228" s="576"/>
      <c r="AF228"/>
    </row>
    <row r="229" spans="2:32" ht="28.5" hidden="1" customHeight="1" thickBot="1">
      <c r="B229" s="182"/>
      <c r="C229" s="565" t="s">
        <v>29</v>
      </c>
      <c r="D229" s="565"/>
      <c r="E229" s="565" t="s">
        <v>30</v>
      </c>
      <c r="F229" s="565"/>
      <c r="G229" s="565" t="s">
        <v>31</v>
      </c>
      <c r="H229" s="565"/>
      <c r="I229" s="539" t="s">
        <v>32</v>
      </c>
      <c r="J229" s="541"/>
      <c r="K229" s="183" t="s">
        <v>33</v>
      </c>
      <c r="L229" s="183" t="s">
        <v>34</v>
      </c>
      <c r="M229" s="184"/>
      <c r="N229" s="185"/>
      <c r="P229" s="186"/>
      <c r="AF229"/>
    </row>
    <row r="230" spans="2:32" ht="15.6" hidden="1">
      <c r="B230" s="182"/>
      <c r="C230" s="565" t="s">
        <v>35</v>
      </c>
      <c r="D230" s="565"/>
      <c r="E230" s="565"/>
      <c r="F230" s="565"/>
      <c r="G230" s="565"/>
      <c r="H230" s="565"/>
      <c r="I230" s="565"/>
      <c r="J230" s="565"/>
      <c r="K230" s="565"/>
      <c r="L230" s="565"/>
      <c r="M230" s="187"/>
      <c r="N230" s="188"/>
      <c r="O230" s="185"/>
      <c r="P230" s="186"/>
      <c r="AB230" s="17"/>
      <c r="AF230"/>
    </row>
    <row r="231" spans="2:32" ht="15.6" hidden="1">
      <c r="B231" s="182"/>
      <c r="C231" s="551"/>
      <c r="D231" s="551"/>
      <c r="E231" s="551"/>
      <c r="F231" s="551"/>
      <c r="G231" s="564"/>
      <c r="H231" s="564"/>
      <c r="I231" s="554"/>
      <c r="J231" s="555"/>
      <c r="K231" s="189"/>
      <c r="L231" s="190"/>
      <c r="M231" s="188"/>
      <c r="N231" s="188"/>
      <c r="O231" s="185"/>
      <c r="P231" s="186"/>
      <c r="AB231" s="17"/>
      <c r="AF231"/>
    </row>
    <row r="232" spans="2:32" ht="15.6" hidden="1">
      <c r="B232" s="182"/>
      <c r="C232" s="551"/>
      <c r="D232" s="551"/>
      <c r="E232" s="551"/>
      <c r="F232" s="551"/>
      <c r="G232" s="564"/>
      <c r="H232" s="564"/>
      <c r="I232" s="554"/>
      <c r="J232" s="555"/>
      <c r="K232" s="189"/>
      <c r="L232" s="190"/>
      <c r="M232" s="188"/>
      <c r="N232" s="188"/>
      <c r="O232" s="185"/>
      <c r="P232" s="186"/>
      <c r="AB232" s="17"/>
      <c r="AF232"/>
    </row>
    <row r="233" spans="2:32" ht="15.6" hidden="1">
      <c r="B233" s="182"/>
      <c r="C233" s="551"/>
      <c r="D233" s="551"/>
      <c r="E233" s="551"/>
      <c r="F233" s="551"/>
      <c r="G233" s="564"/>
      <c r="H233" s="564"/>
      <c r="I233" s="554"/>
      <c r="J233" s="555"/>
      <c r="K233" s="189"/>
      <c r="L233" s="190"/>
      <c r="M233" s="188"/>
      <c r="N233" s="188"/>
      <c r="O233" s="185"/>
      <c r="P233" s="186"/>
      <c r="AB233" s="17"/>
      <c r="AF233"/>
    </row>
    <row r="234" spans="2:32" ht="15.75" hidden="1" customHeight="1" thickBot="1">
      <c r="B234" s="182"/>
      <c r="C234" s="539" t="s">
        <v>35</v>
      </c>
      <c r="D234" s="540"/>
      <c r="E234" s="540"/>
      <c r="F234" s="540"/>
      <c r="G234" s="540"/>
      <c r="H234" s="540"/>
      <c r="I234" s="540"/>
      <c r="J234" s="540"/>
      <c r="K234" s="540"/>
      <c r="L234" s="541"/>
      <c r="M234" s="188"/>
      <c r="N234" s="188"/>
      <c r="O234" s="185"/>
      <c r="P234" s="186"/>
      <c r="AB234" s="17"/>
      <c r="AF234"/>
    </row>
    <row r="235" spans="2:32" ht="15.75" hidden="1" customHeight="1" thickBot="1">
      <c r="B235" s="182"/>
      <c r="C235" s="562">
        <v>43629</v>
      </c>
      <c r="D235" s="563"/>
      <c r="E235" s="562">
        <f>+C235+7</f>
        <v>43636</v>
      </c>
      <c r="F235" s="563"/>
      <c r="G235" s="552" t="s">
        <v>36</v>
      </c>
      <c r="H235" s="553"/>
      <c r="I235" s="554" t="s">
        <v>37</v>
      </c>
      <c r="J235" s="555"/>
      <c r="K235" s="190">
        <v>2.5</v>
      </c>
      <c r="L235" s="190"/>
      <c r="M235" s="188"/>
      <c r="N235" s="188"/>
      <c r="O235" s="185"/>
      <c r="P235" s="186"/>
      <c r="AB235" s="17"/>
      <c r="AF235"/>
    </row>
    <row r="236" spans="2:32" ht="15.75" hidden="1" customHeight="1" thickBot="1">
      <c r="B236" s="191"/>
      <c r="C236" s="559" t="s">
        <v>38</v>
      </c>
      <c r="D236" s="560"/>
      <c r="E236" s="560"/>
      <c r="F236" s="560"/>
      <c r="G236" s="560"/>
      <c r="H236" s="560"/>
      <c r="I236" s="560"/>
      <c r="J236" s="560"/>
      <c r="K236" s="560"/>
      <c r="L236" s="561"/>
      <c r="M236" s="185"/>
      <c r="N236" s="192"/>
      <c r="O236" s="192"/>
      <c r="P236" s="172"/>
      <c r="AB236" s="17"/>
      <c r="AF236"/>
    </row>
    <row r="237" spans="2:32" ht="15.75" hidden="1" customHeight="1" thickBot="1">
      <c r="B237" s="191"/>
      <c r="C237" s="562">
        <v>43615</v>
      </c>
      <c r="D237" s="563"/>
      <c r="E237" s="562">
        <v>43707</v>
      </c>
      <c r="F237" s="563"/>
      <c r="G237" s="552" t="s">
        <v>36</v>
      </c>
      <c r="H237" s="553"/>
      <c r="I237" s="554" t="s">
        <v>39</v>
      </c>
      <c r="J237" s="555"/>
      <c r="K237" s="190">
        <v>4.25</v>
      </c>
      <c r="L237" s="190">
        <v>0</v>
      </c>
      <c r="M237" s="185"/>
      <c r="N237" s="192"/>
      <c r="O237" s="192"/>
      <c r="P237" s="172"/>
      <c r="AF237"/>
    </row>
    <row r="238" spans="2:32" ht="15.75" hidden="1" customHeight="1" thickBot="1">
      <c r="B238" s="191"/>
      <c r="C238" s="559" t="s">
        <v>40</v>
      </c>
      <c r="D238" s="560"/>
      <c r="E238" s="560"/>
      <c r="F238" s="560"/>
      <c r="G238" s="560"/>
      <c r="H238" s="560"/>
      <c r="I238" s="560"/>
      <c r="J238" s="560"/>
      <c r="K238" s="560"/>
      <c r="L238" s="561"/>
      <c r="M238" s="185"/>
      <c r="N238" s="192"/>
      <c r="O238" s="192"/>
      <c r="P238" s="172"/>
      <c r="AF238"/>
    </row>
    <row r="239" spans="2:32" ht="15.6" hidden="1">
      <c r="B239" s="191"/>
      <c r="C239" s="551"/>
      <c r="D239" s="551"/>
      <c r="E239" s="551"/>
      <c r="F239" s="551"/>
      <c r="G239" s="552"/>
      <c r="H239" s="553"/>
      <c r="I239" s="554"/>
      <c r="J239" s="555"/>
      <c r="K239" s="189"/>
      <c r="L239" s="190"/>
      <c r="M239" s="185"/>
      <c r="N239" s="192"/>
      <c r="O239" s="192"/>
      <c r="P239" s="172"/>
      <c r="AF239"/>
    </row>
    <row r="240" spans="2:32" ht="15.6" hidden="1">
      <c r="B240" s="193"/>
      <c r="C240" s="556" t="s">
        <v>41</v>
      </c>
      <c r="D240" s="556"/>
      <c r="E240" s="556"/>
      <c r="F240" s="556"/>
      <c r="G240" s="556"/>
      <c r="H240" s="556"/>
      <c r="I240" s="556"/>
      <c r="J240" s="556"/>
      <c r="K240" s="557">
        <f>SUM(L231:L239)</f>
        <v>0</v>
      </c>
      <c r="L240" s="558"/>
      <c r="M240" s="194"/>
      <c r="N240" s="192"/>
      <c r="O240" s="192"/>
      <c r="P240" s="195"/>
      <c r="AF240"/>
    </row>
    <row r="241" spans="2:32" ht="15.75" hidden="1" customHeight="1" thickBot="1">
      <c r="B241" s="527"/>
      <c r="C241" s="528"/>
      <c r="D241" s="528"/>
      <c r="E241" s="528"/>
      <c r="F241" s="528"/>
      <c r="G241" s="528"/>
      <c r="H241" s="528"/>
      <c r="I241" s="528"/>
      <c r="J241" s="528"/>
      <c r="K241" s="528"/>
      <c r="L241" s="528"/>
      <c r="M241" s="528"/>
      <c r="N241" s="528"/>
      <c r="O241" s="528"/>
      <c r="P241" s="529"/>
      <c r="AF241"/>
    </row>
    <row r="242" spans="2:32" ht="15.75" hidden="1" customHeight="1" thickBot="1">
      <c r="B242" s="542"/>
      <c r="C242" s="543"/>
      <c r="D242" s="543"/>
      <c r="E242" s="543"/>
      <c r="F242" s="543"/>
      <c r="G242" s="543"/>
      <c r="H242" s="543"/>
      <c r="I242" s="543"/>
      <c r="J242" s="543"/>
      <c r="K242" s="543"/>
      <c r="L242" s="543"/>
      <c r="M242" s="543"/>
      <c r="N242" s="543"/>
      <c r="O242" s="543"/>
      <c r="P242" s="544"/>
    </row>
    <row r="243" spans="2:32" ht="15.75" hidden="1" customHeight="1" thickBot="1">
      <c r="B243" s="196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8"/>
    </row>
    <row r="244" spans="2:32" ht="15.75" hidden="1" customHeight="1" thickBot="1">
      <c r="B244" s="545" t="s">
        <v>42</v>
      </c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46"/>
      <c r="P244" s="547"/>
    </row>
    <row r="245" spans="2:32" ht="15.75" hidden="1" customHeight="1" thickBot="1">
      <c r="B245" s="548"/>
      <c r="C245" s="549"/>
      <c r="D245" s="549"/>
      <c r="E245" s="549"/>
      <c r="F245" s="549"/>
      <c r="G245" s="549"/>
      <c r="H245" s="549"/>
      <c r="I245" s="549"/>
      <c r="J245" s="549"/>
      <c r="K245" s="549"/>
      <c r="L245" s="549"/>
      <c r="M245" s="549"/>
      <c r="N245" s="549"/>
      <c r="O245" s="549"/>
      <c r="P245" s="550"/>
    </row>
    <row r="246" spans="2:32" ht="44.25" hidden="1" customHeight="1" thickBot="1">
      <c r="B246" s="182"/>
      <c r="C246" s="539" t="s">
        <v>43</v>
      </c>
      <c r="D246" s="540"/>
      <c r="E246" s="540"/>
      <c r="F246" s="541"/>
      <c r="G246" s="539" t="s">
        <v>44</v>
      </c>
      <c r="H246" s="540"/>
      <c r="I246" s="540"/>
      <c r="J246" s="540"/>
      <c r="K246" s="540"/>
      <c r="L246" s="540"/>
      <c r="M246" s="540"/>
      <c r="N246" s="540"/>
      <c r="O246" s="541"/>
      <c r="P246" s="186"/>
    </row>
    <row r="247" spans="2:32" ht="44.25" hidden="1" customHeight="1" thickBot="1">
      <c r="B247" s="182"/>
      <c r="C247" s="536" t="s">
        <v>45</v>
      </c>
      <c r="D247" s="537"/>
      <c r="E247" s="537"/>
      <c r="F247" s="538"/>
      <c r="G247" s="536" t="s">
        <v>46</v>
      </c>
      <c r="H247" s="537"/>
      <c r="I247" s="537"/>
      <c r="J247" s="537"/>
      <c r="K247" s="537"/>
      <c r="L247" s="537"/>
      <c r="M247" s="537"/>
      <c r="N247" s="537"/>
      <c r="O247" s="538"/>
      <c r="P247" s="186"/>
    </row>
    <row r="248" spans="2:32" ht="44.25" hidden="1" customHeight="1" thickBot="1">
      <c r="B248" s="191"/>
      <c r="C248" s="536" t="s">
        <v>47</v>
      </c>
      <c r="D248" s="537"/>
      <c r="E248" s="537"/>
      <c r="F248" s="538"/>
      <c r="G248" s="536" t="s">
        <v>48</v>
      </c>
      <c r="H248" s="537"/>
      <c r="I248" s="537"/>
      <c r="J248" s="537"/>
      <c r="K248" s="537"/>
      <c r="L248" s="537"/>
      <c r="M248" s="537"/>
      <c r="N248" s="537"/>
      <c r="O248" s="538"/>
      <c r="P248" s="199"/>
    </row>
    <row r="249" spans="2:32" ht="115.5" hidden="1" customHeight="1" thickBot="1">
      <c r="B249" s="191"/>
      <c r="C249" s="536" t="s">
        <v>49</v>
      </c>
      <c r="D249" s="537"/>
      <c r="E249" s="537"/>
      <c r="F249" s="538"/>
      <c r="G249" s="536" t="s">
        <v>295</v>
      </c>
      <c r="H249" s="537"/>
      <c r="I249" s="537"/>
      <c r="J249" s="537"/>
      <c r="K249" s="537"/>
      <c r="L249" s="537"/>
      <c r="M249" s="537"/>
      <c r="N249" s="537"/>
      <c r="O249" s="538"/>
      <c r="P249" s="199"/>
    </row>
    <row r="250" spans="2:32" ht="44.25" hidden="1" customHeight="1" thickBot="1">
      <c r="B250" s="191"/>
      <c r="C250" s="536" t="s">
        <v>50</v>
      </c>
      <c r="D250" s="537"/>
      <c r="E250" s="537"/>
      <c r="F250" s="538"/>
      <c r="G250" s="536" t="s">
        <v>51</v>
      </c>
      <c r="H250" s="537"/>
      <c r="I250" s="537"/>
      <c r="J250" s="537"/>
      <c r="K250" s="537"/>
      <c r="L250" s="537"/>
      <c r="M250" s="537"/>
      <c r="N250" s="537"/>
      <c r="O250" s="538"/>
      <c r="P250" s="199"/>
    </row>
    <row r="251" spans="2:32" ht="44.25" hidden="1" customHeight="1" thickBot="1">
      <c r="B251" s="191"/>
      <c r="C251" s="536" t="s">
        <v>52</v>
      </c>
      <c r="D251" s="537"/>
      <c r="E251" s="537"/>
      <c r="F251" s="538"/>
      <c r="G251" s="539"/>
      <c r="H251" s="540"/>
      <c r="I251" s="540"/>
      <c r="J251" s="540"/>
      <c r="K251" s="540"/>
      <c r="L251" s="540"/>
      <c r="M251" s="540"/>
      <c r="N251" s="540"/>
      <c r="O251" s="541"/>
      <c r="P251" s="199"/>
    </row>
    <row r="252" spans="2:32" ht="44.25" hidden="1" customHeight="1" thickBot="1">
      <c r="B252" s="191"/>
      <c r="C252" s="536" t="s">
        <v>53</v>
      </c>
      <c r="D252" s="537"/>
      <c r="E252" s="537"/>
      <c r="F252" s="538"/>
      <c r="G252" s="536" t="s">
        <v>54</v>
      </c>
      <c r="H252" s="537"/>
      <c r="I252" s="537"/>
      <c r="J252" s="537"/>
      <c r="K252" s="537"/>
      <c r="L252" s="537"/>
      <c r="M252" s="537"/>
      <c r="N252" s="537"/>
      <c r="O252" s="538"/>
      <c r="P252" s="172"/>
    </row>
    <row r="253" spans="2:32" ht="198" hidden="1" customHeight="1" thickBot="1">
      <c r="B253" s="191"/>
      <c r="C253" s="536" t="s">
        <v>55</v>
      </c>
      <c r="D253" s="537"/>
      <c r="E253" s="537"/>
      <c r="F253" s="538"/>
      <c r="G253" s="536" t="s">
        <v>296</v>
      </c>
      <c r="H253" s="537"/>
      <c r="I253" s="537"/>
      <c r="J253" s="537"/>
      <c r="K253" s="537"/>
      <c r="L253" s="537"/>
      <c r="M253" s="537"/>
      <c r="N253" s="537"/>
      <c r="O253" s="538"/>
      <c r="P253" s="172"/>
    </row>
    <row r="254" spans="2:32" ht="15" hidden="1" customHeight="1" thickBot="1">
      <c r="B254" s="527"/>
      <c r="C254" s="528"/>
      <c r="D254" s="528"/>
      <c r="E254" s="528"/>
      <c r="F254" s="528"/>
      <c r="G254" s="528"/>
      <c r="H254" s="528"/>
      <c r="I254" s="528"/>
      <c r="J254" s="528"/>
      <c r="K254" s="528"/>
      <c r="L254" s="528"/>
      <c r="M254" s="528"/>
      <c r="N254" s="528"/>
      <c r="O254" s="528"/>
      <c r="P254" s="529"/>
    </row>
    <row r="255" spans="2:32" ht="15" hidden="1" thickBot="1">
      <c r="B255" s="530"/>
      <c r="C255" s="531"/>
      <c r="D255" s="531"/>
      <c r="E255" s="531"/>
      <c r="F255" s="531"/>
      <c r="G255" s="531"/>
      <c r="H255" s="531"/>
      <c r="I255" s="531"/>
      <c r="J255" s="531"/>
      <c r="K255" s="531"/>
      <c r="L255" s="531"/>
      <c r="M255" s="531"/>
      <c r="N255" s="531"/>
      <c r="O255" s="531"/>
      <c r="P255" s="532"/>
    </row>
    <row r="256" spans="2:32" hidden="1">
      <c r="B256" s="171"/>
      <c r="P256" s="172"/>
    </row>
    <row r="257" spans="2:16" hidden="1">
      <c r="B257" s="171"/>
      <c r="P257" s="172"/>
    </row>
    <row r="258" spans="2:16" hidden="1">
      <c r="B258" s="171"/>
      <c r="P258" s="172"/>
    </row>
    <row r="259" spans="2:16" hidden="1">
      <c r="B259" s="171"/>
      <c r="P259" s="172"/>
    </row>
    <row r="260" spans="2:16" hidden="1">
      <c r="B260" s="171"/>
      <c r="P260" s="172"/>
    </row>
    <row r="261" spans="2:16" hidden="1">
      <c r="B261" s="171"/>
      <c r="P261" s="172"/>
    </row>
    <row r="262" spans="2:16" hidden="1">
      <c r="B262" s="171"/>
      <c r="P262" s="172"/>
    </row>
    <row r="263" spans="2:16" hidden="1">
      <c r="B263" s="171"/>
      <c r="P263" s="172"/>
    </row>
    <row r="264" spans="2:16" hidden="1">
      <c r="B264" s="171"/>
      <c r="P264" s="172"/>
    </row>
    <row r="265" spans="2:16" hidden="1">
      <c r="B265" s="171"/>
      <c r="P265" s="172"/>
    </row>
    <row r="266" spans="2:16" hidden="1">
      <c r="B266" s="171"/>
      <c r="P266" s="172"/>
    </row>
    <row r="267" spans="2:16" hidden="1">
      <c r="B267" s="171"/>
      <c r="P267" s="172"/>
    </row>
    <row r="268" spans="2:16" hidden="1">
      <c r="B268" s="171"/>
      <c r="P268" s="172"/>
    </row>
    <row r="269" spans="2:16" hidden="1">
      <c r="B269" s="171"/>
      <c r="P269" s="172"/>
    </row>
    <row r="270" spans="2:16" hidden="1">
      <c r="B270" s="171"/>
      <c r="P270" s="172"/>
    </row>
    <row r="271" spans="2:16" hidden="1">
      <c r="B271" s="171"/>
      <c r="P271" s="172"/>
    </row>
    <row r="272" spans="2:16" hidden="1">
      <c r="B272" s="171"/>
      <c r="P272" s="172"/>
    </row>
    <row r="273" spans="2:16" hidden="1">
      <c r="B273" s="171"/>
      <c r="P273" s="172"/>
    </row>
    <row r="274" spans="2:16" hidden="1">
      <c r="B274" s="171"/>
      <c r="P274" s="172"/>
    </row>
    <row r="275" spans="2:16" hidden="1">
      <c r="B275" s="171"/>
      <c r="P275" s="172"/>
    </row>
    <row r="276" spans="2:16" hidden="1">
      <c r="B276" s="171"/>
      <c r="P276" s="172"/>
    </row>
    <row r="277" spans="2:16" hidden="1">
      <c r="B277" s="171"/>
      <c r="P277" s="172"/>
    </row>
    <row r="278" spans="2:16" hidden="1">
      <c r="B278" s="171"/>
      <c r="P278" s="172"/>
    </row>
    <row r="279" spans="2:16" hidden="1">
      <c r="B279" s="171"/>
      <c r="P279" s="172"/>
    </row>
    <row r="280" spans="2:16" hidden="1">
      <c r="B280" s="171"/>
      <c r="P280" s="172"/>
    </row>
    <row r="281" spans="2:16" hidden="1">
      <c r="B281" s="171"/>
      <c r="P281" s="172"/>
    </row>
    <row r="282" spans="2:16" hidden="1">
      <c r="B282" s="171"/>
      <c r="P282" s="172"/>
    </row>
    <row r="283" spans="2:16" hidden="1">
      <c r="B283" s="171"/>
      <c r="P283" s="172"/>
    </row>
    <row r="284" spans="2:16" hidden="1">
      <c r="B284" s="171"/>
      <c r="P284" s="172"/>
    </row>
    <row r="285" spans="2:16" hidden="1">
      <c r="B285" s="171"/>
      <c r="P285" s="172"/>
    </row>
    <row r="286" spans="2:16" hidden="1">
      <c r="B286" s="171"/>
      <c r="P286" s="172"/>
    </row>
    <row r="287" spans="2:16" hidden="1">
      <c r="B287" s="171"/>
      <c r="P287" s="172"/>
    </row>
    <row r="288" spans="2:16" hidden="1">
      <c r="B288" s="171"/>
      <c r="P288" s="172"/>
    </row>
    <row r="289" spans="2:16" hidden="1">
      <c r="B289" s="171"/>
      <c r="P289" s="172"/>
    </row>
    <row r="290" spans="2:16" hidden="1">
      <c r="B290" s="171"/>
      <c r="P290" s="172"/>
    </row>
    <row r="291" spans="2:16" hidden="1">
      <c r="B291" s="171"/>
      <c r="P291" s="172"/>
    </row>
    <row r="292" spans="2:16" ht="19.2" customHeight="1">
      <c r="B292" s="171"/>
      <c r="P292" s="172"/>
    </row>
    <row r="293" spans="2:16" ht="4.95" customHeight="1">
      <c r="B293" s="171"/>
      <c r="P293" s="172"/>
    </row>
    <row r="294" spans="2:16" ht="7.95" customHeight="1" thickBot="1">
      <c r="B294" s="200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2"/>
    </row>
    <row r="295" spans="2:16" ht="6.6" customHeight="1" thickBot="1"/>
    <row r="296" spans="2:16" ht="15" thickBot="1">
      <c r="B296" s="533"/>
      <c r="C296" s="534"/>
      <c r="D296" s="534"/>
      <c r="E296" s="534"/>
      <c r="F296" s="534"/>
      <c r="G296" s="534"/>
      <c r="H296" s="534"/>
      <c r="I296" s="534"/>
      <c r="J296" s="534"/>
      <c r="K296" s="534"/>
      <c r="L296" s="534"/>
      <c r="M296" s="534"/>
      <c r="N296" s="534"/>
      <c r="O296" s="534"/>
      <c r="P296" s="535"/>
    </row>
    <row r="297" spans="2:16" ht="38.4" customHeight="1">
      <c r="B297" s="140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2"/>
    </row>
    <row r="298" spans="2:16">
      <c r="B298" s="171"/>
      <c r="P298" s="172"/>
    </row>
    <row r="299" spans="2:16">
      <c r="B299" s="171"/>
      <c r="P299" s="172"/>
    </row>
    <row r="300" spans="2:16">
      <c r="B300" s="171"/>
      <c r="P300" s="172"/>
    </row>
    <row r="301" spans="2:16">
      <c r="B301" s="171"/>
      <c r="P301" s="172"/>
    </row>
    <row r="302" spans="2:16">
      <c r="B302" s="171"/>
      <c r="P302" s="172"/>
    </row>
    <row r="303" spans="2:16">
      <c r="B303" s="171"/>
      <c r="P303" s="172"/>
    </row>
    <row r="304" spans="2:16" ht="15" thickBot="1">
      <c r="B304" s="171"/>
      <c r="P304" s="172"/>
    </row>
    <row r="305" spans="2:18">
      <c r="B305" s="203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5"/>
    </row>
    <row r="306" spans="2:18">
      <c r="B306" s="20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207"/>
    </row>
    <row r="307" spans="2:18">
      <c r="B307" s="20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207"/>
    </row>
    <row r="308" spans="2:18">
      <c r="B308" s="20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207"/>
    </row>
    <row r="309" spans="2:18">
      <c r="B309" s="20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207"/>
    </row>
    <row r="310" spans="2:18">
      <c r="B310" s="20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207"/>
    </row>
    <row r="311" spans="2:18">
      <c r="B311" s="20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207"/>
    </row>
    <row r="312" spans="2:18">
      <c r="B312" s="20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207"/>
    </row>
    <row r="313" spans="2:18">
      <c r="B313" s="20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207"/>
    </row>
    <row r="314" spans="2:18">
      <c r="B314" s="20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207"/>
    </row>
    <row r="315" spans="2:18">
      <c r="B315" s="20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207"/>
      <c r="R315" t="s">
        <v>18</v>
      </c>
    </row>
    <row r="316" spans="2:18">
      <c r="B316" s="20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207"/>
    </row>
    <row r="317" spans="2:18">
      <c r="B317" s="20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207"/>
    </row>
    <row r="318" spans="2:18">
      <c r="B318" s="20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207"/>
    </row>
    <row r="319" spans="2:18">
      <c r="B319" s="20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207"/>
    </row>
    <row r="320" spans="2:18" ht="15" thickBot="1">
      <c r="B320" s="208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10"/>
    </row>
    <row r="321" spans="32:32">
      <c r="AF321" s="64"/>
    </row>
  </sheetData>
  <mergeCells count="116">
    <mergeCell ref="N21:P21"/>
    <mergeCell ref="B24:P25"/>
    <mergeCell ref="B26:P26"/>
    <mergeCell ref="B27:G37"/>
    <mergeCell ref="H27:M37"/>
    <mergeCell ref="N27:P39"/>
    <mergeCell ref="B38:M39"/>
    <mergeCell ref="AR1:AU2"/>
    <mergeCell ref="B4:J4"/>
    <mergeCell ref="K4:P4"/>
    <mergeCell ref="L6:P6"/>
    <mergeCell ref="B8:P8"/>
    <mergeCell ref="C17:F18"/>
    <mergeCell ref="B59:P59"/>
    <mergeCell ref="N60:P62"/>
    <mergeCell ref="AD63:AG63"/>
    <mergeCell ref="AD73:AG73"/>
    <mergeCell ref="AD74:AG74"/>
    <mergeCell ref="B76:P76"/>
    <mergeCell ref="B41:P41"/>
    <mergeCell ref="B42:E49"/>
    <mergeCell ref="F42:I49"/>
    <mergeCell ref="J42:M49"/>
    <mergeCell ref="N42:P56"/>
    <mergeCell ref="B50:E56"/>
    <mergeCell ref="F50:I56"/>
    <mergeCell ref="J50:M56"/>
    <mergeCell ref="N103:P103"/>
    <mergeCell ref="N104:P112"/>
    <mergeCell ref="B112:F112"/>
    <mergeCell ref="B135:P136"/>
    <mergeCell ref="B138:P139"/>
    <mergeCell ref="B140:P141"/>
    <mergeCell ref="B77:M89"/>
    <mergeCell ref="N77:P86"/>
    <mergeCell ref="AD84:AG84"/>
    <mergeCell ref="B90:P90"/>
    <mergeCell ref="B91:G101"/>
    <mergeCell ref="H91:M101"/>
    <mergeCell ref="B155:P156"/>
    <mergeCell ref="B157:P157"/>
    <mergeCell ref="B174:P175"/>
    <mergeCell ref="B177:P177"/>
    <mergeCell ref="B178:H178"/>
    <mergeCell ref="J178:P178"/>
    <mergeCell ref="B142:P143"/>
    <mergeCell ref="B144:P145"/>
    <mergeCell ref="B146:P147"/>
    <mergeCell ref="B148:P149"/>
    <mergeCell ref="B150:P152"/>
    <mergeCell ref="B153:P154"/>
    <mergeCell ref="B223:P224"/>
    <mergeCell ref="B227:P227"/>
    <mergeCell ref="B228:P228"/>
    <mergeCell ref="C229:D229"/>
    <mergeCell ref="E229:F229"/>
    <mergeCell ref="G229:H229"/>
    <mergeCell ref="I229:J229"/>
    <mergeCell ref="B179:G189"/>
    <mergeCell ref="H179:M189"/>
    <mergeCell ref="B204:P204"/>
    <mergeCell ref="B210:P210"/>
    <mergeCell ref="B213:P213"/>
    <mergeCell ref="E214:H222"/>
    <mergeCell ref="I214:P222"/>
    <mergeCell ref="C230:L230"/>
    <mergeCell ref="C231:D231"/>
    <mergeCell ref="E231:F231"/>
    <mergeCell ref="G231:H231"/>
    <mergeCell ref="I231:J231"/>
    <mergeCell ref="C232:D232"/>
    <mergeCell ref="E232:F232"/>
    <mergeCell ref="G232:H232"/>
    <mergeCell ref="I232:J232"/>
    <mergeCell ref="C236:L236"/>
    <mergeCell ref="C237:D237"/>
    <mergeCell ref="E237:F237"/>
    <mergeCell ref="G237:H237"/>
    <mergeCell ref="I237:J237"/>
    <mergeCell ref="C238:L238"/>
    <mergeCell ref="C233:D233"/>
    <mergeCell ref="E233:F233"/>
    <mergeCell ref="G233:H233"/>
    <mergeCell ref="I233:J233"/>
    <mergeCell ref="C234:L234"/>
    <mergeCell ref="C235:D235"/>
    <mergeCell ref="E235:F235"/>
    <mergeCell ref="G235:H235"/>
    <mergeCell ref="I235:J235"/>
    <mergeCell ref="B241:P242"/>
    <mergeCell ref="B244:P244"/>
    <mergeCell ref="B245:P245"/>
    <mergeCell ref="C246:F246"/>
    <mergeCell ref="G246:O246"/>
    <mergeCell ref="C247:F247"/>
    <mergeCell ref="G247:O247"/>
    <mergeCell ref="C239:D239"/>
    <mergeCell ref="E239:F239"/>
    <mergeCell ref="G239:H239"/>
    <mergeCell ref="I239:J239"/>
    <mergeCell ref="C240:J240"/>
    <mergeCell ref="K240:L240"/>
    <mergeCell ref="B254:P255"/>
    <mergeCell ref="B296:P296"/>
    <mergeCell ref="C251:F251"/>
    <mergeCell ref="G251:O251"/>
    <mergeCell ref="C252:F252"/>
    <mergeCell ref="G252:O252"/>
    <mergeCell ref="C253:F253"/>
    <mergeCell ref="G253:O253"/>
    <mergeCell ref="C248:F248"/>
    <mergeCell ref="G248:O248"/>
    <mergeCell ref="C249:F249"/>
    <mergeCell ref="G249:O249"/>
    <mergeCell ref="C250:F250"/>
    <mergeCell ref="G250:O250"/>
  </mergeCells>
  <printOptions horizontalCentered="1"/>
  <pageMargins left="0.25" right="0.25" top="0.75" bottom="0.75" header="0.3" footer="0.3"/>
  <pageSetup paperSize="9" scale="62" fitToHeight="0" orientation="portrait" r:id="rId1"/>
  <headerFooter>
    <oddFooter>&amp;L&amp;"Agency FB,Bold"&amp;14ZAD Finance&amp;R&amp;14&amp;P of &amp;N</oddFooter>
  </headerFooter>
  <rowBreaks count="4" manualBreakCount="4">
    <brk id="39" max="16383" man="1"/>
    <brk id="75" max="16" man="1"/>
    <brk id="136" max="16383" man="1"/>
    <brk id="202" max="16383" man="1"/>
  </rowBreaks>
  <colBreaks count="1" manualBreakCount="1">
    <brk id="17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5E01-087F-4505-B40D-17762F9B60F1}">
  <dimension ref="A1:J121"/>
  <sheetViews>
    <sheetView showGridLines="0" tabSelected="1" topLeftCell="A41" workbookViewId="0">
      <selection activeCell="B128" sqref="B128"/>
    </sheetView>
  </sheetViews>
  <sheetFormatPr defaultRowHeight="14.4"/>
  <cols>
    <col min="1" max="1" width="15.33203125" bestFit="1" customWidth="1"/>
    <col min="2" max="2" width="32" bestFit="1" customWidth="1"/>
    <col min="3" max="3" width="25.33203125" bestFit="1" customWidth="1"/>
    <col min="4" max="4" width="17.88671875" bestFit="1" customWidth="1"/>
    <col min="5" max="5" width="13.5546875" style="425" bestFit="1" customWidth="1"/>
    <col min="6" max="6" width="10.109375" bestFit="1" customWidth="1"/>
    <col min="7" max="7" width="14.33203125" style="425" bestFit="1" customWidth="1"/>
    <col min="10" max="10" width="14.33203125" bestFit="1" customWidth="1"/>
  </cols>
  <sheetData>
    <row r="1" spans="1:7">
      <c r="A1" s="299" t="s">
        <v>268</v>
      </c>
    </row>
    <row r="2" spans="1:7">
      <c r="A2" t="s">
        <v>269</v>
      </c>
    </row>
    <row r="3" spans="1:7">
      <c r="A3" t="s">
        <v>270</v>
      </c>
    </row>
    <row r="6" spans="1:7" ht="15" thickBot="1"/>
    <row r="7" spans="1:7">
      <c r="B7" s="19" t="s">
        <v>5</v>
      </c>
    </row>
    <row r="8" spans="1:7">
      <c r="B8" s="341"/>
    </row>
    <row r="9" spans="1:7">
      <c r="A9" s="342" t="str">
        <f>B9</f>
        <v xml:space="preserve">Doha Bank </v>
      </c>
      <c r="B9" s="343" t="s">
        <v>220</v>
      </c>
      <c r="C9" s="343"/>
      <c r="D9" s="343"/>
      <c r="E9" s="426"/>
      <c r="F9" s="345"/>
      <c r="G9" s="427"/>
    </row>
    <row r="10" spans="1:7">
      <c r="A10" s="342" t="str">
        <f>A9</f>
        <v xml:space="preserve">Doha Bank </v>
      </c>
      <c r="B10" s="346" t="s">
        <v>199</v>
      </c>
      <c r="C10" s="343" t="s">
        <v>221</v>
      </c>
      <c r="D10" s="346" t="s">
        <v>222</v>
      </c>
      <c r="E10" s="426"/>
      <c r="F10" s="347" t="s">
        <v>223</v>
      </c>
      <c r="G10" s="428">
        <f>+'ZAD-0222-0168686-001-0010-000'!B2</f>
        <v>2877749</v>
      </c>
    </row>
    <row r="11" spans="1:7">
      <c r="A11" s="342"/>
      <c r="B11" s="346"/>
      <c r="C11" s="343"/>
      <c r="D11" s="346"/>
      <c r="E11" s="426"/>
      <c r="F11" s="347"/>
      <c r="G11" s="427"/>
    </row>
    <row r="12" spans="1:7">
      <c r="A12" s="342" t="s">
        <v>224</v>
      </c>
      <c r="B12" s="346" t="s">
        <v>224</v>
      </c>
      <c r="C12" s="343"/>
      <c r="D12" s="346"/>
      <c r="E12" s="426"/>
      <c r="F12" s="348"/>
      <c r="G12" s="427"/>
    </row>
    <row r="13" spans="1:7">
      <c r="A13" s="342" t="s">
        <v>224</v>
      </c>
      <c r="B13" s="346" t="s">
        <v>225</v>
      </c>
      <c r="C13" s="343" t="s">
        <v>226</v>
      </c>
      <c r="D13" s="346" t="s">
        <v>227</v>
      </c>
      <c r="E13" s="426" t="s">
        <v>228</v>
      </c>
      <c r="F13" s="347" t="s">
        <v>229</v>
      </c>
      <c r="G13" s="429" t="s">
        <v>3</v>
      </c>
    </row>
    <row r="14" spans="1:7">
      <c r="A14" s="342" t="s">
        <v>224</v>
      </c>
      <c r="B14" s="346" t="s">
        <v>100</v>
      </c>
      <c r="C14" s="344">
        <v>100001845559</v>
      </c>
      <c r="D14" s="346" t="s">
        <v>222</v>
      </c>
      <c r="E14" s="426" t="s">
        <v>230</v>
      </c>
      <c r="F14" s="347" t="s">
        <v>223</v>
      </c>
      <c r="G14" s="430">
        <f>+'ASP-100001845559'!B2</f>
        <v>26451</v>
      </c>
    </row>
    <row r="15" spans="1:7">
      <c r="A15" s="342" t="s">
        <v>224</v>
      </c>
      <c r="B15" s="346" t="s">
        <v>200</v>
      </c>
      <c r="C15" s="344">
        <v>100000279773</v>
      </c>
      <c r="D15" s="346" t="s">
        <v>222</v>
      </c>
      <c r="E15" s="426" t="s">
        <v>230</v>
      </c>
      <c r="F15" s="347" t="s">
        <v>223</v>
      </c>
      <c r="G15" s="430">
        <f>+'ACC-100000279773'!B2</f>
        <v>16031</v>
      </c>
    </row>
    <row r="16" spans="1:7">
      <c r="A16" s="342" t="s">
        <v>224</v>
      </c>
      <c r="B16" s="349" t="s">
        <v>200</v>
      </c>
      <c r="C16" s="344">
        <v>100000827646</v>
      </c>
      <c r="D16" s="349" t="s">
        <v>222</v>
      </c>
      <c r="E16" s="426" t="s">
        <v>230</v>
      </c>
      <c r="F16" s="347" t="s">
        <v>223</v>
      </c>
      <c r="G16" s="430">
        <f>+'ACC-100000827646'!B2</f>
        <v>6484</v>
      </c>
    </row>
    <row r="17" spans="1:8">
      <c r="A17" s="342" t="s">
        <v>224</v>
      </c>
      <c r="B17" s="346" t="s">
        <v>231</v>
      </c>
      <c r="C17" s="344">
        <v>100000841415</v>
      </c>
      <c r="D17" s="346" t="s">
        <v>222</v>
      </c>
      <c r="E17" s="426" t="s">
        <v>230</v>
      </c>
      <c r="F17" s="347" t="s">
        <v>223</v>
      </c>
      <c r="G17" s="430">
        <f>+'ALC-100000841415'!B2</f>
        <v>51254</v>
      </c>
    </row>
    <row r="18" spans="1:8">
      <c r="A18" s="342" t="s">
        <v>224</v>
      </c>
      <c r="B18" s="346" t="s">
        <v>232</v>
      </c>
      <c r="C18" s="344">
        <v>100000819104</v>
      </c>
      <c r="D18" s="346" t="s">
        <v>222</v>
      </c>
      <c r="E18" s="426" t="s">
        <v>230</v>
      </c>
      <c r="F18" s="347" t="s">
        <v>223</v>
      </c>
      <c r="G18" s="430">
        <f>+'AMC-100000819104'!B2</f>
        <v>16388</v>
      </c>
    </row>
    <row r="19" spans="1:8">
      <c r="A19" s="342" t="s">
        <v>224</v>
      </c>
      <c r="B19" s="346" t="s">
        <v>233</v>
      </c>
      <c r="C19" s="344">
        <v>100000824416</v>
      </c>
      <c r="D19" s="346" t="s">
        <v>222</v>
      </c>
      <c r="E19" s="426" t="s">
        <v>230</v>
      </c>
      <c r="F19" s="347" t="s">
        <v>223</v>
      </c>
      <c r="G19" s="430">
        <f>+'GUC-100000824416'!B2</f>
        <v>23549</v>
      </c>
    </row>
    <row r="20" spans="1:8">
      <c r="A20" s="342" t="s">
        <v>224</v>
      </c>
      <c r="B20" s="346" t="s">
        <v>234</v>
      </c>
      <c r="C20" s="344">
        <v>100000792904</v>
      </c>
      <c r="D20" s="346" t="s">
        <v>222</v>
      </c>
      <c r="E20" s="426" t="s">
        <v>230</v>
      </c>
      <c r="F20" s="347" t="s">
        <v>223</v>
      </c>
      <c r="G20" s="430">
        <f>+'NFC-100000792904'!B2</f>
        <v>31880</v>
      </c>
    </row>
    <row r="21" spans="1:8">
      <c r="A21" s="342" t="s">
        <v>224</v>
      </c>
      <c r="B21" s="346" t="s">
        <v>201</v>
      </c>
      <c r="C21" s="344">
        <v>100000185812</v>
      </c>
      <c r="D21" s="346" t="s">
        <v>222</v>
      </c>
      <c r="E21" s="426" t="s">
        <v>230</v>
      </c>
      <c r="F21" s="347" t="s">
        <v>223</v>
      </c>
      <c r="G21" s="430">
        <f>+'QFT-100000185812'!B2</f>
        <v>8051</v>
      </c>
    </row>
    <row r="22" spans="1:8">
      <c r="A22" s="342" t="s">
        <v>224</v>
      </c>
      <c r="B22" s="346" t="s">
        <v>96</v>
      </c>
      <c r="C22" s="344">
        <v>100000832880</v>
      </c>
      <c r="D22" s="346" t="s">
        <v>222</v>
      </c>
      <c r="E22" s="426" t="s">
        <v>230</v>
      </c>
      <c r="F22" s="347" t="s">
        <v>223</v>
      </c>
      <c r="G22" s="430">
        <f>+'QFM-100000832880'!B2</f>
        <v>25182</v>
      </c>
    </row>
    <row r="23" spans="1:8">
      <c r="A23" s="342" t="s">
        <v>224</v>
      </c>
      <c r="B23" s="346" t="s">
        <v>97</v>
      </c>
      <c r="C23" s="344">
        <v>100000780301</v>
      </c>
      <c r="D23" s="346" t="s">
        <v>222</v>
      </c>
      <c r="E23" s="426" t="s">
        <v>230</v>
      </c>
      <c r="F23" s="347" t="s">
        <v>223</v>
      </c>
      <c r="G23" s="430">
        <f>+'QFI-100000780301'!B2</f>
        <v>90531</v>
      </c>
    </row>
    <row r="24" spans="1:8">
      <c r="A24" s="342" t="s">
        <v>224</v>
      </c>
      <c r="B24" s="346" t="s">
        <v>97</v>
      </c>
      <c r="C24" s="344">
        <v>100000832877</v>
      </c>
      <c r="D24" s="346" t="s">
        <v>222</v>
      </c>
      <c r="E24" s="426" t="s">
        <v>230</v>
      </c>
      <c r="F24" s="347" t="s">
        <v>223</v>
      </c>
      <c r="G24" s="430">
        <f>+'QFI-100000832877'!B2</f>
        <v>45854</v>
      </c>
    </row>
    <row r="25" spans="1:8">
      <c r="A25" s="342" t="s">
        <v>224</v>
      </c>
      <c r="B25" s="346" t="s">
        <v>98</v>
      </c>
      <c r="C25" s="344">
        <v>100000792506</v>
      </c>
      <c r="D25" s="346" t="s">
        <v>222</v>
      </c>
      <c r="E25" s="426" t="s">
        <v>230</v>
      </c>
      <c r="F25" s="347" t="s">
        <v>223</v>
      </c>
      <c r="G25" s="430">
        <f>+'USB-100000792506'!B2</f>
        <v>60221.27</v>
      </c>
    </row>
    <row r="26" spans="1:8">
      <c r="A26" s="342" t="s">
        <v>224</v>
      </c>
      <c r="B26" s="346" t="s">
        <v>99</v>
      </c>
      <c r="C26" s="344">
        <v>100001798347</v>
      </c>
      <c r="D26" s="346" t="s">
        <v>222</v>
      </c>
      <c r="E26" s="426" t="s">
        <v>230</v>
      </c>
      <c r="F26" s="347" t="s">
        <v>223</v>
      </c>
      <c r="G26" s="430">
        <f>+'UNB-100001798347'!B2</f>
        <v>73391</v>
      </c>
    </row>
    <row r="27" spans="1:8">
      <c r="A27" s="342" t="s">
        <v>224</v>
      </c>
      <c r="B27" s="346" t="s">
        <v>99</v>
      </c>
      <c r="C27" s="344">
        <v>100001833574</v>
      </c>
      <c r="D27" s="346" t="s">
        <v>222</v>
      </c>
      <c r="E27" s="426" t="s">
        <v>230</v>
      </c>
      <c r="F27" s="347" t="s">
        <v>223</v>
      </c>
      <c r="G27" s="430">
        <v>50000</v>
      </c>
      <c r="H27" t="s">
        <v>300</v>
      </c>
    </row>
    <row r="28" spans="1:8">
      <c r="A28" s="342" t="s">
        <v>224</v>
      </c>
      <c r="B28" s="346" t="s">
        <v>235</v>
      </c>
      <c r="C28" s="350" t="s">
        <v>236</v>
      </c>
      <c r="D28" s="346" t="s">
        <v>222</v>
      </c>
      <c r="E28" s="426" t="s">
        <v>230</v>
      </c>
      <c r="F28" s="347" t="s">
        <v>223</v>
      </c>
      <c r="G28" s="430">
        <f>+'AUTO M-100002593758'!B2</f>
        <v>20100</v>
      </c>
    </row>
    <row r="29" spans="1:8">
      <c r="A29" s="342" t="s">
        <v>224</v>
      </c>
      <c r="B29" s="346" t="s">
        <v>199</v>
      </c>
      <c r="C29" s="344">
        <v>100000182792</v>
      </c>
      <c r="D29" s="346" t="s">
        <v>222</v>
      </c>
      <c r="E29" s="426" t="s">
        <v>230</v>
      </c>
      <c r="F29" s="347" t="s">
        <v>223</v>
      </c>
      <c r="G29" s="430">
        <f>+'ZAD-100000182792'!B2</f>
        <v>58917</v>
      </c>
    </row>
    <row r="30" spans="1:8">
      <c r="A30" s="342" t="s">
        <v>224</v>
      </c>
      <c r="B30" s="346" t="s">
        <v>199</v>
      </c>
      <c r="C30" s="344">
        <v>100000763315</v>
      </c>
      <c r="D30" s="346" t="s">
        <v>237</v>
      </c>
      <c r="E30" s="426" t="s">
        <v>230</v>
      </c>
      <c r="F30" s="347" t="s">
        <v>223</v>
      </c>
      <c r="G30" s="430">
        <v>180000</v>
      </c>
      <c r="H30" t="s">
        <v>300</v>
      </c>
    </row>
    <row r="31" spans="1:8">
      <c r="A31" s="342" t="s">
        <v>224</v>
      </c>
      <c r="B31" s="346" t="s">
        <v>238</v>
      </c>
      <c r="C31" s="344">
        <v>200001066225</v>
      </c>
      <c r="D31" s="346" t="s">
        <v>239</v>
      </c>
      <c r="E31" s="431" t="s">
        <v>230</v>
      </c>
      <c r="F31" s="351" t="s">
        <v>223</v>
      </c>
      <c r="G31" s="432">
        <f>+'ZAD-200001066225'!B2</f>
        <v>31866</v>
      </c>
    </row>
    <row r="32" spans="1:8">
      <c r="A32" s="342" t="s">
        <v>224</v>
      </c>
      <c r="B32" s="346" t="s">
        <v>199</v>
      </c>
      <c r="C32" s="344">
        <v>200000597452</v>
      </c>
      <c r="D32" s="346" t="s">
        <v>240</v>
      </c>
      <c r="E32" s="426" t="s">
        <v>230</v>
      </c>
      <c r="F32" s="347" t="s">
        <v>223</v>
      </c>
      <c r="G32" s="430">
        <f>+'ZAD-200000597452'!B2</f>
        <v>261842</v>
      </c>
    </row>
    <row r="33" spans="1:8">
      <c r="A33" s="342"/>
      <c r="B33" s="346"/>
      <c r="C33" s="352"/>
      <c r="D33" s="353"/>
      <c r="E33" s="433"/>
      <c r="F33" s="354"/>
      <c r="G33" s="434"/>
    </row>
    <row r="34" spans="1:8">
      <c r="A34" s="342" t="s">
        <v>194</v>
      </c>
      <c r="B34" s="346" t="s">
        <v>199</v>
      </c>
      <c r="C34" s="355" t="s">
        <v>241</v>
      </c>
      <c r="D34" s="346"/>
      <c r="E34" s="426"/>
      <c r="F34" s="347"/>
      <c r="G34" s="430">
        <f>+'ZAD-0111051730026'!B2</f>
        <v>34557</v>
      </c>
    </row>
    <row r="35" spans="1:8">
      <c r="A35" s="342"/>
      <c r="B35" s="346"/>
      <c r="C35" s="355"/>
      <c r="D35" s="346"/>
      <c r="E35" s="426"/>
      <c r="F35" s="347"/>
      <c r="G35" s="427"/>
    </row>
    <row r="36" spans="1:8">
      <c r="A36" s="342" t="s">
        <v>89</v>
      </c>
      <c r="B36" s="346" t="s">
        <v>199</v>
      </c>
      <c r="C36" s="343" t="s">
        <v>242</v>
      </c>
      <c r="D36" s="346" t="s">
        <v>243</v>
      </c>
      <c r="E36" s="426"/>
      <c r="F36" s="347" t="s">
        <v>223</v>
      </c>
      <c r="G36" s="430">
        <f>+'ZAD-0003177700001'!B2</f>
        <v>408426</v>
      </c>
    </row>
    <row r="37" spans="1:8">
      <c r="A37" s="342" t="s">
        <v>89</v>
      </c>
      <c r="B37" s="346" t="s">
        <v>200</v>
      </c>
      <c r="C37" s="343" t="s">
        <v>244</v>
      </c>
      <c r="D37" s="346" t="s">
        <v>243</v>
      </c>
      <c r="E37" s="426"/>
      <c r="F37" s="347" t="s">
        <v>223</v>
      </c>
      <c r="G37" s="435">
        <v>20000</v>
      </c>
    </row>
    <row r="38" spans="1:8">
      <c r="A38" s="342"/>
      <c r="B38" s="346"/>
      <c r="C38" s="343"/>
      <c r="D38" s="346"/>
      <c r="E38" s="426"/>
      <c r="F38" s="347"/>
      <c r="G38" s="427"/>
    </row>
    <row r="39" spans="1:8">
      <c r="A39" s="342" t="s">
        <v>139</v>
      </c>
      <c r="B39" s="349" t="s">
        <v>139</v>
      </c>
      <c r="C39" s="343"/>
      <c r="D39" s="346"/>
      <c r="E39" s="426"/>
      <c r="F39" s="347"/>
      <c r="G39" s="429"/>
    </row>
    <row r="40" spans="1:8">
      <c r="A40" s="342" t="s">
        <v>139</v>
      </c>
      <c r="B40" s="346" t="s">
        <v>233</v>
      </c>
      <c r="C40" s="343">
        <v>20490009938</v>
      </c>
      <c r="D40" s="346"/>
      <c r="E40" s="426"/>
      <c r="F40" s="347" t="s">
        <v>223</v>
      </c>
      <c r="G40" s="436">
        <v>10000</v>
      </c>
    </row>
    <row r="41" spans="1:8">
      <c r="A41" s="342" t="s">
        <v>139</v>
      </c>
      <c r="B41" s="346" t="s">
        <v>199</v>
      </c>
      <c r="C41" s="343">
        <v>29000000712</v>
      </c>
      <c r="D41" s="346"/>
      <c r="E41" s="426"/>
      <c r="F41" s="347" t="s">
        <v>223</v>
      </c>
      <c r="G41" s="428">
        <f>+'ZAD-29000000712'!B2</f>
        <v>9845</v>
      </c>
    </row>
    <row r="42" spans="1:8">
      <c r="A42" s="342" t="s">
        <v>139</v>
      </c>
      <c r="B42" s="346" t="s">
        <v>199</v>
      </c>
      <c r="C42" s="343">
        <v>11941000032</v>
      </c>
      <c r="D42" s="346"/>
      <c r="E42" s="426"/>
      <c r="F42" s="347" t="s">
        <v>223</v>
      </c>
      <c r="G42" s="428">
        <f>+'ZAD-11941000032'!B2</f>
        <v>638733</v>
      </c>
    </row>
    <row r="43" spans="1:8">
      <c r="A43" s="342"/>
      <c r="B43" s="346"/>
      <c r="C43" s="343"/>
      <c r="D43" s="346"/>
      <c r="E43" s="426"/>
      <c r="F43" s="347"/>
      <c r="G43" s="429"/>
    </row>
    <row r="44" spans="1:8">
      <c r="A44" s="342" t="s">
        <v>224</v>
      </c>
      <c r="B44" s="346" t="s">
        <v>232</v>
      </c>
      <c r="C44" s="344">
        <v>100001872603</v>
      </c>
      <c r="D44" s="347" t="s">
        <v>196</v>
      </c>
      <c r="E44" s="437">
        <f>+'AMC-100001872603'!B2</f>
        <v>14215</v>
      </c>
      <c r="F44" s="347">
        <v>3.65</v>
      </c>
      <c r="G44" s="438">
        <f>E44*F44</f>
        <v>51884.75</v>
      </c>
    </row>
    <row r="45" spans="1:8">
      <c r="A45" s="342" t="s">
        <v>224</v>
      </c>
      <c r="B45" s="346" t="s">
        <v>200</v>
      </c>
      <c r="C45" s="344">
        <v>100001870650</v>
      </c>
      <c r="D45" s="347" t="s">
        <v>196</v>
      </c>
      <c r="E45" s="437">
        <f>+'ACC-100001870650'!B2</f>
        <v>5624</v>
      </c>
      <c r="F45" s="347">
        <v>3.65</v>
      </c>
      <c r="G45" s="438">
        <f>E45*F45</f>
        <v>20527.599999999999</v>
      </c>
    </row>
    <row r="46" spans="1:8">
      <c r="A46" s="342" t="s">
        <v>224</v>
      </c>
      <c r="B46" s="346" t="s">
        <v>201</v>
      </c>
      <c r="C46" s="344">
        <v>100001870728</v>
      </c>
      <c r="D46" s="347" t="s">
        <v>196</v>
      </c>
      <c r="E46" s="437">
        <f>+'QFT-100001870728'!B2</f>
        <v>76205</v>
      </c>
      <c r="F46" s="347">
        <v>3.65</v>
      </c>
      <c r="G46" s="438">
        <f>E46*F46</f>
        <v>278148.25</v>
      </c>
    </row>
    <row r="47" spans="1:8">
      <c r="A47" s="342" t="s">
        <v>224</v>
      </c>
      <c r="B47" s="346" t="s">
        <v>97</v>
      </c>
      <c r="C47" s="344">
        <v>100001870676</v>
      </c>
      <c r="D47" s="347" t="s">
        <v>196</v>
      </c>
      <c r="E47" s="436">
        <v>0</v>
      </c>
      <c r="F47" s="347">
        <v>3.65</v>
      </c>
      <c r="G47" s="430">
        <v>0</v>
      </c>
      <c r="H47" t="s">
        <v>300</v>
      </c>
    </row>
    <row r="48" spans="1:8">
      <c r="A48" s="342" t="s">
        <v>224</v>
      </c>
      <c r="B48" s="346" t="s">
        <v>96</v>
      </c>
      <c r="C48" s="344">
        <v>100001870618</v>
      </c>
      <c r="D48" s="347" t="s">
        <v>196</v>
      </c>
      <c r="E48" s="437">
        <f>+'QFM-100001870618'!B2</f>
        <v>54684.56</v>
      </c>
      <c r="F48" s="347">
        <v>3.65</v>
      </c>
      <c r="G48" s="438">
        <f>E48*F48</f>
        <v>199598.644</v>
      </c>
    </row>
    <row r="49" spans="1:8">
      <c r="A49" s="342" t="s">
        <v>224</v>
      </c>
      <c r="B49" s="346" t="s">
        <v>98</v>
      </c>
      <c r="C49" s="344">
        <v>100001870634</v>
      </c>
      <c r="D49" s="347" t="s">
        <v>196</v>
      </c>
      <c r="E49" s="437">
        <f>+'USB-100001870634'!B2</f>
        <v>21046</v>
      </c>
      <c r="F49" s="347">
        <v>3.65</v>
      </c>
      <c r="G49" s="438">
        <f>E49*F49</f>
        <v>76817.899999999994</v>
      </c>
    </row>
    <row r="50" spans="1:8">
      <c r="A50" s="342" t="s">
        <v>224</v>
      </c>
      <c r="B50" s="346" t="s">
        <v>97</v>
      </c>
      <c r="C50" s="344">
        <v>100001870692</v>
      </c>
      <c r="D50" s="347" t="s">
        <v>196</v>
      </c>
      <c r="E50" s="437">
        <f>+'QFI-100001870692'!B2</f>
        <v>63791</v>
      </c>
      <c r="F50" s="347">
        <v>3.65</v>
      </c>
      <c r="G50" s="438">
        <f>E50*F50</f>
        <v>232837.15</v>
      </c>
    </row>
    <row r="51" spans="1:8">
      <c r="A51" s="342" t="s">
        <v>224</v>
      </c>
      <c r="B51" s="346" t="s">
        <v>199</v>
      </c>
      <c r="C51" s="344">
        <v>100000484005</v>
      </c>
      <c r="D51" s="347" t="s">
        <v>196</v>
      </c>
      <c r="E51" s="437">
        <f>+'ZAD-100000484005'!B2</f>
        <v>65396</v>
      </c>
      <c r="F51" s="347">
        <v>3.65</v>
      </c>
      <c r="G51" s="438">
        <f>E51*F51</f>
        <v>238695.4</v>
      </c>
    </row>
    <row r="52" spans="1:8">
      <c r="A52" s="342" t="s">
        <v>224</v>
      </c>
      <c r="B52" s="346" t="s">
        <v>98</v>
      </c>
      <c r="C52" s="344">
        <v>100001870621</v>
      </c>
      <c r="D52" s="347" t="s">
        <v>245</v>
      </c>
      <c r="E52" s="437">
        <f>+'USB-100001870621'!B2</f>
        <v>65404</v>
      </c>
      <c r="F52" s="347">
        <v>4.0999999999999996</v>
      </c>
      <c r="G52" s="438">
        <f>E52*F52</f>
        <v>268156.39999999997</v>
      </c>
    </row>
    <row r="53" spans="1:8">
      <c r="A53" s="342" t="s">
        <v>224</v>
      </c>
      <c r="B53" s="346" t="s">
        <v>97</v>
      </c>
      <c r="C53" s="344">
        <v>100001870663</v>
      </c>
      <c r="D53" s="347" t="s">
        <v>245</v>
      </c>
      <c r="E53" s="436">
        <v>0</v>
      </c>
      <c r="F53" s="347">
        <v>4.0999999999999996</v>
      </c>
      <c r="G53" s="430">
        <v>0</v>
      </c>
      <c r="H53" t="s">
        <v>300</v>
      </c>
    </row>
    <row r="54" spans="1:8">
      <c r="A54" s="342" t="s">
        <v>224</v>
      </c>
      <c r="B54" s="346" t="s">
        <v>97</v>
      </c>
      <c r="C54" s="344">
        <v>100001870689</v>
      </c>
      <c r="D54" s="347" t="s">
        <v>245</v>
      </c>
      <c r="E54" s="437">
        <f>+'QFI-100001870689'!B2</f>
        <v>5981</v>
      </c>
      <c r="F54" s="347">
        <v>4.0999999999999996</v>
      </c>
      <c r="G54" s="438">
        <f>E54*F54</f>
        <v>24522.1</v>
      </c>
    </row>
    <row r="55" spans="1:8">
      <c r="A55" s="342" t="s">
        <v>224</v>
      </c>
      <c r="B55" s="346" t="s">
        <v>200</v>
      </c>
      <c r="C55" s="344">
        <v>100001870647</v>
      </c>
      <c r="D55" s="347" t="s">
        <v>245</v>
      </c>
      <c r="E55" s="437">
        <f>+'ACC-100001870647'!B2</f>
        <v>991</v>
      </c>
      <c r="F55" s="347">
        <v>4.0999999999999996</v>
      </c>
      <c r="G55" s="438">
        <f>E55*F55</f>
        <v>4063.0999999999995</v>
      </c>
    </row>
    <row r="56" spans="1:8">
      <c r="A56" s="342" t="s">
        <v>224</v>
      </c>
      <c r="B56" s="346" t="s">
        <v>199</v>
      </c>
      <c r="C56" s="344">
        <v>100000483996</v>
      </c>
      <c r="D56" s="347" t="s">
        <v>245</v>
      </c>
      <c r="E56" s="436">
        <v>0</v>
      </c>
      <c r="F56" s="347">
        <v>4.0999999999999996</v>
      </c>
      <c r="G56" s="430">
        <v>0</v>
      </c>
      <c r="H56" t="s">
        <v>300</v>
      </c>
    </row>
    <row r="57" spans="1:8">
      <c r="A57" s="342" t="s">
        <v>224</v>
      </c>
      <c r="B57" s="346" t="s">
        <v>96</v>
      </c>
      <c r="C57" s="344">
        <v>1000001870702</v>
      </c>
      <c r="D57" s="347" t="s">
        <v>246</v>
      </c>
      <c r="E57" s="437">
        <f>+'QFM-1000001870702'!B2</f>
        <v>11546</v>
      </c>
      <c r="F57" s="347">
        <v>4.0999999999999996</v>
      </c>
      <c r="G57" s="438">
        <f>E57*F57</f>
        <v>47338.6</v>
      </c>
    </row>
    <row r="58" spans="1:8">
      <c r="A58" s="342" t="s">
        <v>224</v>
      </c>
      <c r="B58" s="346" t="s">
        <v>199</v>
      </c>
      <c r="C58" s="344">
        <v>1000002781078</v>
      </c>
      <c r="D58" s="347" t="s">
        <v>246</v>
      </c>
      <c r="E58" s="437">
        <f>+'ZAD-1000002781078'!B2</f>
        <v>56564</v>
      </c>
      <c r="F58" s="347">
        <v>4.0999999999999996</v>
      </c>
      <c r="G58" s="438">
        <f>E58*F58</f>
        <v>231912.4</v>
      </c>
    </row>
    <row r="59" spans="1:8">
      <c r="A59" s="342"/>
      <c r="B59" s="346"/>
      <c r="C59" s="343"/>
      <c r="D59" s="346"/>
      <c r="E59" s="426"/>
      <c r="F59" s="347"/>
      <c r="G59" s="439"/>
    </row>
    <row r="60" spans="1:8">
      <c r="A60" s="346" t="s">
        <v>247</v>
      </c>
      <c r="B60" s="346" t="s">
        <v>89</v>
      </c>
      <c r="C60" s="355" t="s">
        <v>248</v>
      </c>
      <c r="D60" s="346" t="s">
        <v>196</v>
      </c>
      <c r="E60" s="437">
        <f>+'ZAD-0003177700004'!B2</f>
        <v>70800</v>
      </c>
      <c r="F60" s="347">
        <v>3.65</v>
      </c>
      <c r="G60" s="438">
        <f>E60*F60</f>
        <v>258420</v>
      </c>
    </row>
    <row r="61" spans="1:8">
      <c r="A61" s="342"/>
      <c r="B61" s="349"/>
      <c r="C61" s="343"/>
      <c r="D61" s="346"/>
      <c r="E61" s="426"/>
      <c r="F61" s="347"/>
      <c r="G61" s="438"/>
    </row>
    <row r="62" spans="1:8">
      <c r="A62" s="342" t="s">
        <v>139</v>
      </c>
      <c r="B62" s="346" t="s">
        <v>199</v>
      </c>
      <c r="C62" s="343">
        <v>19100425710</v>
      </c>
      <c r="D62" s="346"/>
      <c r="E62" s="440">
        <v>0</v>
      </c>
      <c r="F62" s="347" t="s">
        <v>196</v>
      </c>
      <c r="G62" s="438">
        <f t="shared" ref="G62" si="0">E62*3.65</f>
        <v>0</v>
      </c>
    </row>
    <row r="63" spans="1:8">
      <c r="A63" s="342" t="s">
        <v>139</v>
      </c>
      <c r="B63" s="346" t="s">
        <v>199</v>
      </c>
      <c r="C63" s="343">
        <v>19120001103</v>
      </c>
      <c r="D63" s="346"/>
      <c r="E63" s="441">
        <f>+'ZAD-19120001103'!B2</f>
        <v>6942.78</v>
      </c>
      <c r="F63" s="347" t="s">
        <v>196</v>
      </c>
      <c r="G63" s="438">
        <f>E63*3.65</f>
        <v>25341.146999999997</v>
      </c>
    </row>
    <row r="64" spans="1:8">
      <c r="A64" s="342" t="s">
        <v>139</v>
      </c>
      <c r="B64" s="346" t="s">
        <v>199</v>
      </c>
      <c r="C64" s="343">
        <v>19120046127</v>
      </c>
      <c r="D64" s="346"/>
      <c r="E64" s="440">
        <v>0</v>
      </c>
      <c r="F64" s="347" t="s">
        <v>249</v>
      </c>
      <c r="G64" s="438">
        <f t="shared" ref="G64" si="1">E64*3.65</f>
        <v>0</v>
      </c>
    </row>
    <row r="65" spans="1:10">
      <c r="A65" s="342" t="str">
        <f>A64</f>
        <v>Mashreq</v>
      </c>
      <c r="B65" s="346"/>
      <c r="C65" s="343"/>
      <c r="D65" s="346"/>
      <c r="E65" s="426"/>
      <c r="F65" s="347"/>
      <c r="G65" s="439"/>
    </row>
    <row r="66" spans="1:10">
      <c r="A66" s="342"/>
      <c r="B66" s="346" t="s">
        <v>194</v>
      </c>
      <c r="C66" s="343"/>
      <c r="D66" s="346"/>
      <c r="E66" s="426"/>
      <c r="F66" s="347"/>
      <c r="G66" s="439"/>
    </row>
    <row r="67" spans="1:10">
      <c r="A67" s="342"/>
      <c r="B67" s="353"/>
      <c r="C67" s="342"/>
      <c r="D67" s="353"/>
      <c r="E67" s="433"/>
      <c r="F67" s="354"/>
      <c r="G67" s="442"/>
    </row>
    <row r="68" spans="1:10">
      <c r="A68" s="342"/>
      <c r="B68" s="353"/>
      <c r="C68" s="342"/>
      <c r="D68" s="353"/>
      <c r="E68" s="433"/>
      <c r="F68" s="354"/>
      <c r="G68" s="442"/>
    </row>
    <row r="69" spans="1:10">
      <c r="A69" s="342" t="s">
        <v>66</v>
      </c>
      <c r="B69" s="346" t="s">
        <v>294</v>
      </c>
      <c r="C69" s="343"/>
      <c r="D69" s="346"/>
      <c r="E69" s="426"/>
      <c r="F69" s="347"/>
      <c r="G69" s="429"/>
    </row>
    <row r="70" spans="1:10">
      <c r="A70" s="342" t="s">
        <v>66</v>
      </c>
      <c r="B70" s="346" t="s">
        <v>199</v>
      </c>
      <c r="C70" s="343" t="s">
        <v>250</v>
      </c>
      <c r="D70" s="346"/>
      <c r="E70" s="443">
        <f>+'UBS - USD'!B2</f>
        <v>5470</v>
      </c>
      <c r="F70" s="347">
        <v>3.65</v>
      </c>
      <c r="G70" s="429">
        <f>E70*F70</f>
        <v>19965.5</v>
      </c>
      <c r="J70" s="29"/>
    </row>
    <row r="71" spans="1:10">
      <c r="A71" s="342" t="s">
        <v>66</v>
      </c>
      <c r="B71" s="346" t="s">
        <v>199</v>
      </c>
      <c r="C71" s="343" t="s">
        <v>251</v>
      </c>
      <c r="D71" s="346"/>
      <c r="E71" s="441">
        <f>+'UBS - CAD'!B2</f>
        <v>2800</v>
      </c>
      <c r="F71" s="347">
        <v>2.75</v>
      </c>
      <c r="G71" s="429">
        <f>E71*F71</f>
        <v>7700</v>
      </c>
      <c r="J71" s="29"/>
    </row>
    <row r="72" spans="1:10">
      <c r="A72" s="342" t="s">
        <v>66</v>
      </c>
      <c r="B72" s="346" t="s">
        <v>199</v>
      </c>
      <c r="C72" s="343" t="s">
        <v>252</v>
      </c>
      <c r="D72" s="346"/>
      <c r="E72" s="440"/>
      <c r="F72" s="347">
        <v>2.35</v>
      </c>
      <c r="G72" s="429">
        <f>E72*F72</f>
        <v>0</v>
      </c>
    </row>
    <row r="73" spans="1:10">
      <c r="A73" s="356" t="s">
        <v>253</v>
      </c>
      <c r="B73" s="346" t="s">
        <v>199</v>
      </c>
      <c r="C73" s="343" t="s">
        <v>254</v>
      </c>
      <c r="D73" s="346"/>
      <c r="E73" s="441">
        <f>+'HSBC - USD'!B2</f>
        <v>4060</v>
      </c>
      <c r="F73" s="347">
        <v>3.65</v>
      </c>
      <c r="G73" s="429">
        <f>E73*F73</f>
        <v>14819</v>
      </c>
    </row>
    <row r="74" spans="1:10">
      <c r="A74" s="356" t="s">
        <v>253</v>
      </c>
      <c r="B74" s="346" t="s">
        <v>199</v>
      </c>
      <c r="C74" s="343" t="s">
        <v>255</v>
      </c>
      <c r="D74" s="346"/>
      <c r="E74" s="441">
        <f>+'HSBC - CAD'!B2</f>
        <v>6400</v>
      </c>
      <c r="F74" s="347">
        <v>2.75</v>
      </c>
      <c r="G74" s="429">
        <f>E74*F74</f>
        <v>17600</v>
      </c>
    </row>
    <row r="75" spans="1:10">
      <c r="A75" s="356"/>
      <c r="B75" s="353"/>
      <c r="C75" s="342"/>
      <c r="D75" s="353"/>
      <c r="E75" s="444"/>
      <c r="F75" s="354"/>
      <c r="G75" s="445"/>
    </row>
    <row r="76" spans="1:10">
      <c r="A76" s="356"/>
      <c r="B76" s="357" t="s">
        <v>111</v>
      </c>
      <c r="C76" s="358"/>
      <c r="D76" s="357"/>
      <c r="E76" s="446"/>
      <c r="F76" s="359"/>
      <c r="G76" s="447">
        <f>SUM(G9:G75)</f>
        <v>7095650.2110000001</v>
      </c>
    </row>
    <row r="77" spans="1:10">
      <c r="A77" s="356"/>
      <c r="B77" s="360"/>
      <c r="C77" s="361"/>
      <c r="D77" s="353"/>
      <c r="E77" s="444"/>
      <c r="F77" s="354"/>
      <c r="G77" s="445"/>
    </row>
    <row r="78" spans="1:10">
      <c r="A78" s="356"/>
      <c r="B78" s="360"/>
      <c r="C78" s="361"/>
      <c r="D78" s="353"/>
      <c r="E78" s="444"/>
      <c r="F78" s="354"/>
      <c r="G78" s="445"/>
    </row>
    <row r="79" spans="1:10">
      <c r="B79" s="736" t="s">
        <v>256</v>
      </c>
      <c r="C79" s="736"/>
    </row>
    <row r="80" spans="1:10">
      <c r="B80" s="362" t="s">
        <v>257</v>
      </c>
      <c r="C80" s="362" t="s">
        <v>258</v>
      </c>
    </row>
    <row r="81" spans="2:3">
      <c r="B81" s="362" t="s">
        <v>199</v>
      </c>
      <c r="C81" s="363">
        <f>SUMIFS('1. Funds position'!$G$9:$G$74,'1. Funds position'!$B$9:$B$74,B81)/10^6</f>
        <v>5.0261024470000004</v>
      </c>
    </row>
    <row r="82" spans="2:3">
      <c r="B82" s="362" t="s">
        <v>97</v>
      </c>
      <c r="C82" s="363">
        <f>SUMIFS('1. Funds position'!$G$9:$G$74,'1. Funds position'!$B$9:$B$74,B82)/10^6</f>
        <v>0.39374425000000002</v>
      </c>
    </row>
    <row r="83" spans="2:3">
      <c r="B83" s="362" t="s">
        <v>98</v>
      </c>
      <c r="C83" s="363">
        <f>SUMIFS('1. Funds position'!$G$9:$G$74,'1. Funds position'!$B$9:$B$74,B83)/10^6</f>
        <v>0.40519556999999995</v>
      </c>
    </row>
    <row r="84" spans="2:3">
      <c r="B84" s="362" t="s">
        <v>200</v>
      </c>
      <c r="C84" s="363">
        <f>SUMIFS('1. Funds position'!$G$9:$G$74,'1. Funds position'!$B$9:$B$74,B84)/10^6</f>
        <v>6.710569999999999E-2</v>
      </c>
    </row>
    <row r="85" spans="2:3">
      <c r="B85" s="362" t="s">
        <v>233</v>
      </c>
      <c r="C85" s="363">
        <f>SUMIFS('1. Funds position'!$G$9:$G$74,'1. Funds position'!$B$9:$B$74,B85)/10^6+0.8</f>
        <v>0.8335490000000001</v>
      </c>
    </row>
    <row r="86" spans="2:3">
      <c r="B86" s="362" t="s">
        <v>259</v>
      </c>
      <c r="C86" s="364">
        <f>SUM(C81:C85)</f>
        <v>6.7256969670000011</v>
      </c>
    </row>
    <row r="87" spans="2:3">
      <c r="B87" s="362"/>
      <c r="C87" s="363"/>
    </row>
    <row r="90" spans="2:3">
      <c r="B90" s="365" t="s">
        <v>260</v>
      </c>
      <c r="C90" s="366" t="s">
        <v>258</v>
      </c>
    </row>
    <row r="91" spans="2:3">
      <c r="B91" s="362" t="s">
        <v>261</v>
      </c>
      <c r="C91" s="363">
        <f>SUMIFS('1. Funds position'!$G$9:$G$74,'1. Funds position'!$A$9:$A$74,"Doha Bank ")/10^6</f>
        <v>2.8777490000000001</v>
      </c>
    </row>
    <row r="92" spans="2:3">
      <c r="B92" s="362" t="s">
        <v>140</v>
      </c>
      <c r="C92" s="363">
        <f>SUMIFS('1. Funds position'!$G$9:$G$42,'1. Funds position'!$A$9:$A$42,"Dukhan Bank ")/10^6</f>
        <v>1.07799227</v>
      </c>
    </row>
    <row r="93" spans="2:3">
      <c r="B93" s="362" t="s">
        <v>198</v>
      </c>
      <c r="C93" s="363">
        <f>SUMIFS('1. Funds position'!$G$9:$G$74,'1. Funds position'!$A$9:$A$74,"Al Rayan")/10^6</f>
        <v>0.68684599999999996</v>
      </c>
    </row>
    <row r="94" spans="2:3">
      <c r="B94" s="362" t="s">
        <v>139</v>
      </c>
      <c r="C94" s="363">
        <f>SUMIFS('1. Funds position'!$G$9:$G$74,'1. Funds position'!$A$9:$A$74,"Mashreq")/10^6</f>
        <v>0.68391914700000001</v>
      </c>
    </row>
    <row r="95" spans="2:3">
      <c r="B95" s="362" t="s">
        <v>194</v>
      </c>
      <c r="C95" s="363">
        <f>SUMIFS('1. Funds position'!$G$9:$G$74,'1. Funds position'!$A$9:$A$74,"QIB")/10^6</f>
        <v>3.4556999999999997E-2</v>
      </c>
    </row>
    <row r="96" spans="2:3">
      <c r="B96" s="362" t="s">
        <v>253</v>
      </c>
      <c r="C96" s="363">
        <f>SUMIFS('1. Funds position'!$G$9:$G$74,'1. Funds position'!$A$9:$A$74,"HSBC")/10^6</f>
        <v>3.2419000000000003E-2</v>
      </c>
    </row>
    <row r="97" spans="2:3">
      <c r="B97" s="362" t="s">
        <v>66</v>
      </c>
      <c r="C97" s="363">
        <f>SUMIFS('1. Funds position'!$G$9:$G$74,'1. Funds position'!$A$9:$A$74,"UBS")/10^6</f>
        <v>2.7665499999999999E-2</v>
      </c>
    </row>
    <row r="98" spans="2:3">
      <c r="B98" s="346"/>
      <c r="C98" s="367">
        <f>SUM(C91:C97)</f>
        <v>5.4211479170000008</v>
      </c>
    </row>
    <row r="99" spans="2:3">
      <c r="B99" s="353"/>
      <c r="C99" s="356"/>
    </row>
    <row r="100" spans="2:3">
      <c r="B100" s="353"/>
      <c r="C100" s="356"/>
    </row>
    <row r="101" spans="2:3">
      <c r="B101" s="353"/>
      <c r="C101" s="356"/>
    </row>
    <row r="102" spans="2:3">
      <c r="B102" s="365" t="s">
        <v>260</v>
      </c>
      <c r="C102" s="366" t="s">
        <v>258</v>
      </c>
    </row>
    <row r="103" spans="2:3">
      <c r="B103" s="362" t="s">
        <v>140</v>
      </c>
      <c r="C103" s="363">
        <f>SUMIFS('1. Funds position'!$E$44:$E$74,'1. Funds position'!$A$44:$A$74,"Dukhan Bank ")/10^6</f>
        <v>0.44144756000000002</v>
      </c>
    </row>
    <row r="104" spans="2:3">
      <c r="B104" s="362" t="s">
        <v>139</v>
      </c>
      <c r="C104" s="363">
        <f>SUMIFS('1. Funds position'!$E$44:$E$74,'1. Funds position'!$A$44:$A$74,"Mashreq")/10^6</f>
        <v>6.94278E-3</v>
      </c>
    </row>
    <row r="105" spans="2:3">
      <c r="B105" s="362" t="s">
        <v>66</v>
      </c>
      <c r="C105" s="363">
        <f>SUMIFS('1. Funds position'!$E$44:$E$74,'1. Funds position'!$A$44:$A$74,"UBS")/10^6</f>
        <v>8.2699999999999996E-3</v>
      </c>
    </row>
    <row r="106" spans="2:3">
      <c r="B106" s="362" t="s">
        <v>253</v>
      </c>
      <c r="C106" s="363">
        <f>SUMIFS('1. Funds position'!$E$44:$E$74,'1. Funds position'!$A$44:$A$74,"HSBC")/10^6</f>
        <v>1.0460000000000001E-2</v>
      </c>
    </row>
    <row r="107" spans="2:3">
      <c r="B107" s="346" t="s">
        <v>198</v>
      </c>
      <c r="C107" s="363">
        <f>SUMIFS('1. Funds position'!$E$44:$E$74,'1. Funds position'!$A$44:$A$74,"AL RAYAN")/10^6</f>
        <v>7.0800000000000002E-2</v>
      </c>
    </row>
    <row r="108" spans="2:3">
      <c r="B108" s="346"/>
      <c r="C108" s="368">
        <f>SUM(C103:C107)</f>
        <v>0.53792034</v>
      </c>
    </row>
    <row r="110" spans="2:3" ht="15" thickBot="1"/>
    <row r="111" spans="2:3" ht="15" customHeight="1">
      <c r="B111" s="737" t="s">
        <v>262</v>
      </c>
      <c r="C111" s="738"/>
    </row>
    <row r="112" spans="2:3" ht="15" customHeight="1">
      <c r="B112" s="739"/>
      <c r="C112" s="740"/>
    </row>
    <row r="113" spans="2:5" ht="15.75" customHeight="1" thickBot="1">
      <c r="B113" s="741"/>
      <c r="C113" s="742"/>
    </row>
    <row r="114" spans="2:5" ht="18.600000000000001" thickBot="1">
      <c r="B114" s="369"/>
      <c r="C114" s="370"/>
    </row>
    <row r="115" spans="2:5" ht="18">
      <c r="B115" s="371" t="s">
        <v>263</v>
      </c>
      <c r="C115" s="372">
        <f>+G76/10^6</f>
        <v>7.0956502109999997</v>
      </c>
    </row>
    <row r="116" spans="2:5" ht="18">
      <c r="B116" s="369" t="s">
        <v>264</v>
      </c>
      <c r="C116" s="378">
        <v>-5</v>
      </c>
    </row>
    <row r="117" spans="2:5" ht="18.600000000000001" thickBot="1">
      <c r="B117" s="369" t="s">
        <v>265</v>
      </c>
      <c r="C117" s="379">
        <v>-2</v>
      </c>
    </row>
    <row r="118" spans="2:5" ht="18.600000000000001" thickBot="1">
      <c r="B118" s="373" t="s">
        <v>266</v>
      </c>
      <c r="C118" s="374">
        <f>SUM(C115:C117)</f>
        <v>9.5650210999999707E-2</v>
      </c>
    </row>
    <row r="119" spans="2:5">
      <c r="C119" s="375"/>
    </row>
    <row r="120" spans="2:5" ht="28.5" customHeight="1">
      <c r="B120" s="743" t="s">
        <v>289</v>
      </c>
      <c r="C120" s="743"/>
      <c r="D120" s="376"/>
      <c r="E120" s="448"/>
    </row>
    <row r="121" spans="2:5">
      <c r="B121" s="743"/>
      <c r="C121" s="743"/>
      <c r="D121" s="376"/>
      <c r="E121" s="448"/>
    </row>
  </sheetData>
  <mergeCells count="3">
    <mergeCell ref="B79:C79"/>
    <mergeCell ref="B111:C113"/>
    <mergeCell ref="B120:C12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566C-940E-43A9-82AF-80FBBB2FA64B}">
  <sheetPr codeName="Sheet3"/>
  <dimension ref="A1:F12"/>
  <sheetViews>
    <sheetView showGridLines="0" workbookViewId="0">
      <selection activeCell="E32" sqref="E32"/>
    </sheetView>
  </sheetViews>
  <sheetFormatPr defaultRowHeight="14.4"/>
  <cols>
    <col min="2" max="2" width="18.109375" customWidth="1"/>
    <col min="3" max="6" width="18.5546875" style="74" customWidth="1"/>
  </cols>
  <sheetData>
    <row r="1" spans="1:6">
      <c r="A1" s="299" t="s">
        <v>268</v>
      </c>
    </row>
    <row r="2" spans="1:6">
      <c r="A2" t="s">
        <v>271</v>
      </c>
    </row>
    <row r="3" spans="1:6">
      <c r="A3" t="s">
        <v>272</v>
      </c>
    </row>
    <row r="6" spans="1:6">
      <c r="B6" s="58" t="s">
        <v>9</v>
      </c>
    </row>
    <row r="8" spans="1:6">
      <c r="B8" s="334" t="s">
        <v>212</v>
      </c>
      <c r="C8" s="335" t="s">
        <v>213</v>
      </c>
      <c r="D8" s="336" t="s">
        <v>214</v>
      </c>
      <c r="E8" s="323" t="s">
        <v>215</v>
      </c>
      <c r="F8" s="323" t="s">
        <v>216</v>
      </c>
    </row>
    <row r="9" spans="1:6">
      <c r="B9" s="337" t="s">
        <v>217</v>
      </c>
      <c r="C9" s="380">
        <v>100</v>
      </c>
      <c r="D9" s="381">
        <v>90</v>
      </c>
      <c r="E9" s="336">
        <f>'2. Cash flow'!C9-'2. Cash flow'!D9</f>
        <v>10</v>
      </c>
      <c r="F9" s="336" t="str">
        <f>+IF(E9&gt;0,"Surplus", "Deficit")</f>
        <v>Surplus</v>
      </c>
    </row>
    <row r="10" spans="1:6">
      <c r="B10" s="337" t="s">
        <v>218</v>
      </c>
      <c r="C10" s="380">
        <f>+C9+20</f>
        <v>120</v>
      </c>
      <c r="D10" s="381">
        <v>120</v>
      </c>
      <c r="E10" s="336">
        <f>'2. Cash flow'!C10-'2. Cash flow'!D10</f>
        <v>0</v>
      </c>
      <c r="F10" s="336" t="str">
        <f>+IF(E10&gt;0,"Surplus", "Deficit")</f>
        <v>Deficit</v>
      </c>
    </row>
    <row r="11" spans="1:6">
      <c r="B11" s="337" t="s">
        <v>219</v>
      </c>
      <c r="C11" s="380">
        <f>+C10+20</f>
        <v>140</v>
      </c>
      <c r="D11" s="381">
        <v>145</v>
      </c>
      <c r="E11" s="336">
        <f>'2. Cash flow'!C11-'2. Cash flow'!D11</f>
        <v>-5</v>
      </c>
      <c r="F11" s="336" t="str">
        <f>+IF(E11&gt;0,"Surplus", "Deficit")</f>
        <v>Deficit</v>
      </c>
    </row>
    <row r="12" spans="1:6">
      <c r="B12" s="338" t="s">
        <v>111</v>
      </c>
      <c r="C12" s="339">
        <f>SUM(C9:C11)</f>
        <v>360</v>
      </c>
      <c r="D12" s="339">
        <f>SUM(D9:D11)</f>
        <v>355</v>
      </c>
      <c r="E12" s="339">
        <f>SUM(E9:E11)</f>
        <v>5</v>
      </c>
      <c r="F12" s="340"/>
    </row>
  </sheetData>
  <conditionalFormatting sqref="E9:E1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EFA3-4D61-4339-A1FF-3639B3F062E1}">
  <sheetPr codeName="Sheet4"/>
  <dimension ref="A1:H115"/>
  <sheetViews>
    <sheetView workbookViewId="0">
      <selection activeCell="D66" sqref="D66"/>
    </sheetView>
  </sheetViews>
  <sheetFormatPr defaultRowHeight="14.4"/>
  <cols>
    <col min="2" max="6" width="17.5546875" customWidth="1"/>
  </cols>
  <sheetData>
    <row r="1" spans="1:7">
      <c r="A1" s="299" t="s">
        <v>268</v>
      </c>
    </row>
    <row r="2" spans="1:7">
      <c r="A2" t="s">
        <v>273</v>
      </c>
    </row>
    <row r="3" spans="1:7">
      <c r="A3" t="s">
        <v>298</v>
      </c>
    </row>
    <row r="4" spans="1:7">
      <c r="A4" t="s">
        <v>274</v>
      </c>
    </row>
    <row r="5" spans="1:7">
      <c r="A5" t="s">
        <v>275</v>
      </c>
    </row>
    <row r="7" spans="1:7">
      <c r="B7" s="58" t="s">
        <v>12</v>
      </c>
    </row>
    <row r="8" spans="1:7">
      <c r="B8" s="58"/>
    </row>
    <row r="9" spans="1:7">
      <c r="B9" s="312"/>
      <c r="E9" s="313" t="s">
        <v>195</v>
      </c>
      <c r="F9" s="313" t="s">
        <v>111</v>
      </c>
      <c r="G9" s="313" t="s">
        <v>196</v>
      </c>
    </row>
    <row r="10" spans="1:7">
      <c r="C10" s="313" t="s">
        <v>191</v>
      </c>
      <c r="D10" s="313" t="s">
        <v>187</v>
      </c>
      <c r="E10" s="243"/>
      <c r="F10" s="243"/>
      <c r="G10" s="314">
        <f t="shared" ref="G10:G16" si="0">F10/3.65</f>
        <v>0</v>
      </c>
    </row>
    <row r="11" spans="1:7">
      <c r="B11" s="313" t="s">
        <v>197</v>
      </c>
      <c r="C11" s="243"/>
      <c r="D11" s="243"/>
      <c r="E11" s="243"/>
      <c r="F11" s="243"/>
      <c r="G11" s="314">
        <f t="shared" si="0"/>
        <v>0</v>
      </c>
    </row>
    <row r="12" spans="1:7">
      <c r="B12" s="238" t="s">
        <v>292</v>
      </c>
      <c r="C12" s="387">
        <v>250</v>
      </c>
      <c r="D12" s="387">
        <v>10</v>
      </c>
      <c r="E12" s="387">
        <v>50</v>
      </c>
      <c r="F12" s="243">
        <f>C12+E12</f>
        <v>300</v>
      </c>
      <c r="G12" s="314">
        <f t="shared" si="0"/>
        <v>82.191780821917817</v>
      </c>
    </row>
    <row r="13" spans="1:7">
      <c r="B13" s="238" t="s">
        <v>282</v>
      </c>
      <c r="C13" s="387">
        <v>200</v>
      </c>
      <c r="D13" s="387">
        <v>75</v>
      </c>
      <c r="E13" s="387">
        <v>10</v>
      </c>
      <c r="F13" s="243">
        <f>C13+E13</f>
        <v>210</v>
      </c>
      <c r="G13" s="314">
        <f t="shared" si="0"/>
        <v>57.534246575342465</v>
      </c>
    </row>
    <row r="14" spans="1:7">
      <c r="B14" s="238" t="s">
        <v>66</v>
      </c>
      <c r="C14" s="387">
        <v>0</v>
      </c>
      <c r="D14" s="387">
        <v>15</v>
      </c>
      <c r="E14" s="387">
        <v>0</v>
      </c>
      <c r="F14" s="243">
        <f t="shared" ref="F14:F16" si="1">C14+E14</f>
        <v>0</v>
      </c>
      <c r="G14" s="314">
        <f t="shared" si="0"/>
        <v>0</v>
      </c>
    </row>
    <row r="15" spans="1:7">
      <c r="B15" s="238" t="s">
        <v>194</v>
      </c>
      <c r="C15" s="387">
        <v>50</v>
      </c>
      <c r="D15" s="387">
        <v>30</v>
      </c>
      <c r="E15" s="387">
        <v>20</v>
      </c>
      <c r="F15" s="243">
        <f t="shared" si="1"/>
        <v>70</v>
      </c>
      <c r="G15" s="314">
        <f t="shared" si="0"/>
        <v>19.178082191780824</v>
      </c>
    </row>
    <row r="16" spans="1:7">
      <c r="B16" s="238" t="s">
        <v>89</v>
      </c>
      <c r="C16" s="387">
        <v>125</v>
      </c>
      <c r="D16" s="387">
        <v>2</v>
      </c>
      <c r="E16" s="387">
        <v>10</v>
      </c>
      <c r="F16" s="243">
        <f t="shared" si="1"/>
        <v>135</v>
      </c>
      <c r="G16" s="314">
        <f t="shared" si="0"/>
        <v>36.986301369863014</v>
      </c>
    </row>
    <row r="17" spans="1:7" ht="15" thickBot="1">
      <c r="B17" s="315" t="s">
        <v>111</v>
      </c>
      <c r="C17" s="316">
        <f>SUM(C12:C16)</f>
        <v>625</v>
      </c>
      <c r="D17" s="316">
        <f>SUM(D12:D16)</f>
        <v>132</v>
      </c>
      <c r="E17" s="316">
        <f>SUM(E12:E16)</f>
        <v>90</v>
      </c>
      <c r="F17" s="316">
        <f>SUM(F12:F16)</f>
        <v>715</v>
      </c>
      <c r="G17" s="317">
        <f>SUM(G12:G16)</f>
        <v>195.89041095890411</v>
      </c>
    </row>
    <row r="18" spans="1:7" ht="15" thickTop="1"/>
    <row r="20" spans="1:7">
      <c r="C20" s="319" t="s">
        <v>202</v>
      </c>
      <c r="D20" s="320"/>
      <c r="E20" s="321"/>
      <c r="F20" s="322"/>
    </row>
    <row r="21" spans="1:7">
      <c r="C21" s="238"/>
      <c r="D21" s="323" t="s">
        <v>191</v>
      </c>
      <c r="E21" s="323" t="s">
        <v>187</v>
      </c>
      <c r="F21" s="323" t="s">
        <v>193</v>
      </c>
    </row>
    <row r="22" spans="1:7">
      <c r="C22" s="238" t="s">
        <v>194</v>
      </c>
      <c r="D22" s="386">
        <v>4.3365000003948809E-5</v>
      </c>
      <c r="E22" s="386">
        <v>0</v>
      </c>
      <c r="F22" s="386">
        <v>4</v>
      </c>
    </row>
    <row r="23" spans="1:7">
      <c r="C23" s="238" t="s">
        <v>282</v>
      </c>
      <c r="D23" s="386">
        <v>0</v>
      </c>
      <c r="E23" s="386">
        <v>70</v>
      </c>
      <c r="F23" s="386">
        <v>0</v>
      </c>
    </row>
    <row r="24" spans="1:7">
      <c r="C24" s="275" t="s">
        <v>89</v>
      </c>
      <c r="D24" s="386">
        <v>15</v>
      </c>
      <c r="E24" s="386">
        <v>2</v>
      </c>
      <c r="F24" s="386">
        <v>2</v>
      </c>
    </row>
    <row r="25" spans="1:7">
      <c r="C25" s="238" t="s">
        <v>293</v>
      </c>
      <c r="D25" s="386">
        <v>100</v>
      </c>
      <c r="E25" s="386">
        <v>10</v>
      </c>
      <c r="F25" s="386">
        <v>15</v>
      </c>
    </row>
    <row r="26" spans="1:7">
      <c r="C26" s="238" t="s">
        <v>66</v>
      </c>
      <c r="D26" s="386">
        <v>0</v>
      </c>
      <c r="E26" s="386">
        <v>15</v>
      </c>
      <c r="F26" s="386">
        <v>0</v>
      </c>
    </row>
    <row r="27" spans="1:7">
      <c r="C27" s="238" t="s">
        <v>203</v>
      </c>
      <c r="D27" s="386">
        <v>0</v>
      </c>
      <c r="E27" s="386">
        <v>0</v>
      </c>
      <c r="F27" s="386">
        <v>0</v>
      </c>
    </row>
    <row r="28" spans="1:7">
      <c r="C28" s="238"/>
      <c r="D28" s="324">
        <f>SUM(D22:D27)</f>
        <v>115.00004336500001</v>
      </c>
      <c r="E28" s="324">
        <f>SUM(E22:E27)</f>
        <v>97</v>
      </c>
      <c r="F28" s="324">
        <f>SUM(F22:F27)</f>
        <v>21</v>
      </c>
    </row>
    <row r="30" spans="1:7">
      <c r="A30">
        <v>1</v>
      </c>
      <c r="B30" s="299" t="s">
        <v>180</v>
      </c>
    </row>
    <row r="31" spans="1:7">
      <c r="B31" s="299"/>
    </row>
    <row r="32" spans="1:7">
      <c r="B32" s="300" t="s">
        <v>181</v>
      </c>
      <c r="C32" s="11" t="s">
        <v>182</v>
      </c>
      <c r="D32" s="11" t="s">
        <v>183</v>
      </c>
      <c r="E32" s="11" t="s">
        <v>184</v>
      </c>
      <c r="F32" s="11" t="s">
        <v>185</v>
      </c>
    </row>
    <row r="33" spans="2:6">
      <c r="B33" s="238" t="s">
        <v>186</v>
      </c>
      <c r="C33" s="305">
        <v>50</v>
      </c>
      <c r="D33" s="415">
        <f>'3. Working capital'!D22</f>
        <v>4.3365000003948809E-5</v>
      </c>
      <c r="E33" s="301">
        <v>0</v>
      </c>
      <c r="F33" s="302">
        <f>IFERROR(SUM(D33:E33)/C33,0)</f>
        <v>8.6730000007897623E-7</v>
      </c>
    </row>
    <row r="34" spans="2:6">
      <c r="B34" s="238" t="s">
        <v>187</v>
      </c>
      <c r="C34" s="305">
        <v>40</v>
      </c>
      <c r="D34" s="416">
        <f>'3. Working capital'!E22</f>
        <v>0</v>
      </c>
      <c r="E34" s="301">
        <v>0</v>
      </c>
      <c r="F34" s="302">
        <f>IFERROR(SUM(D34:E34)/C34,0)</f>
        <v>0</v>
      </c>
    </row>
    <row r="35" spans="2:6">
      <c r="B35" s="238" t="s">
        <v>188</v>
      </c>
      <c r="C35" s="305">
        <v>10</v>
      </c>
      <c r="D35" s="301">
        <v>3.7155860000000001</v>
      </c>
      <c r="E35" s="301">
        <v>0</v>
      </c>
      <c r="F35" s="302">
        <f>IFERROR(SUM(D35:E35)/C35,0)</f>
        <v>0.37155860000000002</v>
      </c>
    </row>
    <row r="36" spans="2:6">
      <c r="B36" s="240" t="s">
        <v>189</v>
      </c>
      <c r="C36" s="303">
        <f>SUM(C34:C35)</f>
        <v>50</v>
      </c>
      <c r="D36" s="304">
        <f>SUM(D33:D35)</f>
        <v>3.7156293650000038</v>
      </c>
      <c r="E36" s="304">
        <f>SUM(E33:E34)</f>
        <v>0</v>
      </c>
      <c r="F36" s="302">
        <f>IFERROR(SUM(D36:E36)/C36,0)</f>
        <v>7.431258730000008E-2</v>
      </c>
    </row>
    <row r="37" spans="2:6">
      <c r="B37" s="238"/>
      <c r="C37" s="305"/>
      <c r="D37" s="301"/>
      <c r="E37" s="301"/>
      <c r="F37" s="302">
        <f>IFERROR(SUM(D37:E37)/C37,0)</f>
        <v>0</v>
      </c>
    </row>
    <row r="38" spans="2:6">
      <c r="B38" s="300" t="s">
        <v>190</v>
      </c>
      <c r="C38" s="11" t="s">
        <v>182</v>
      </c>
      <c r="D38" s="11" t="s">
        <v>183</v>
      </c>
      <c r="E38" s="11" t="s">
        <v>184</v>
      </c>
      <c r="F38" s="11" t="s">
        <v>185</v>
      </c>
    </row>
    <row r="39" spans="2:6">
      <c r="B39" s="300"/>
      <c r="C39" s="11"/>
      <c r="D39" s="11"/>
      <c r="E39" s="11"/>
      <c r="F39" s="11"/>
    </row>
    <row r="40" spans="2:6">
      <c r="B40" s="300"/>
      <c r="C40" s="11"/>
      <c r="D40" s="11"/>
      <c r="E40" s="11"/>
      <c r="F40" s="11"/>
    </row>
    <row r="41" spans="2:6">
      <c r="B41" s="238" t="s">
        <v>191</v>
      </c>
      <c r="C41" s="305">
        <f>'3. Working capital'!C13</f>
        <v>200</v>
      </c>
      <c r="D41" s="301">
        <f>'3. Working capital'!D23</f>
        <v>0</v>
      </c>
      <c r="E41" s="301"/>
      <c r="F41" s="302">
        <f>IFERROR(SUM(D41:E41)/C41,0)</f>
        <v>0</v>
      </c>
    </row>
    <row r="42" spans="2:6">
      <c r="B42" s="238" t="s">
        <v>187</v>
      </c>
      <c r="C42" s="305">
        <f>D13</f>
        <v>75</v>
      </c>
      <c r="D42" s="301">
        <f>'3. Working capital'!E23</f>
        <v>70</v>
      </c>
      <c r="E42" s="301"/>
      <c r="F42" s="302">
        <f>IFERROR(SUM(D42:E42)/C42,0)</f>
        <v>0.93333333333333335</v>
      </c>
    </row>
    <row r="43" spans="2:6">
      <c r="B43" s="238" t="s">
        <v>188</v>
      </c>
      <c r="C43" s="305">
        <f>'3. Working capital'!E13</f>
        <v>10</v>
      </c>
      <c r="D43" s="301">
        <f>'3. Working capital'!F23</f>
        <v>0</v>
      </c>
      <c r="E43" s="301"/>
      <c r="F43" s="302">
        <f>IFERROR(SUM(D43:E43)/C43,0)</f>
        <v>0</v>
      </c>
    </row>
    <row r="44" spans="2:6">
      <c r="B44" s="240" t="s">
        <v>189</v>
      </c>
      <c r="C44" s="304">
        <f>SUM(C42:C43)</f>
        <v>85</v>
      </c>
      <c r="D44" s="304">
        <f>SUM(D41:D43)</f>
        <v>70</v>
      </c>
      <c r="E44" s="304">
        <f>SUM(E41:E43)</f>
        <v>0</v>
      </c>
      <c r="F44" s="302">
        <f>IFERROR(SUM(D44:E44)/C44,0)</f>
        <v>0.82352941176470584</v>
      </c>
    </row>
    <row r="45" spans="2:6">
      <c r="B45" s="238"/>
      <c r="C45" s="238"/>
      <c r="D45" s="238"/>
      <c r="E45" s="238"/>
      <c r="F45" s="238"/>
    </row>
    <row r="46" spans="2:6">
      <c r="B46" s="300" t="s">
        <v>89</v>
      </c>
      <c r="C46" s="11" t="s">
        <v>182</v>
      </c>
      <c r="D46" s="11" t="s">
        <v>183</v>
      </c>
      <c r="E46" s="11" t="s">
        <v>184</v>
      </c>
      <c r="F46" s="11" t="s">
        <v>185</v>
      </c>
    </row>
    <row r="47" spans="2:6">
      <c r="B47" s="238" t="s">
        <v>191</v>
      </c>
      <c r="C47" s="305">
        <f>'3. Working capital'!C16</f>
        <v>125</v>
      </c>
      <c r="D47" s="417">
        <f>'3. Working capital'!D24</f>
        <v>15</v>
      </c>
      <c r="E47" s="301"/>
      <c r="F47" s="302">
        <f>IFERROR(SUM(D47:E47)/C47,0)</f>
        <v>0.12</v>
      </c>
    </row>
    <row r="48" spans="2:6">
      <c r="B48" s="238" t="s">
        <v>187</v>
      </c>
      <c r="C48" s="305">
        <f>'3. Working capital'!C16</f>
        <v>125</v>
      </c>
      <c r="D48" s="417">
        <f>'3. Working capital'!E24</f>
        <v>2</v>
      </c>
      <c r="E48" s="301"/>
      <c r="F48" s="302">
        <f>IFERROR(SUM(D48:E48)/C48,0)</f>
        <v>1.6E-2</v>
      </c>
    </row>
    <row r="49" spans="2:6">
      <c r="B49" s="238" t="s">
        <v>188</v>
      </c>
      <c r="C49" s="305">
        <f>'3. Working capital'!E15</f>
        <v>20</v>
      </c>
      <c r="D49" s="418">
        <f>'3. Working capital'!F24</f>
        <v>2</v>
      </c>
      <c r="E49" s="301"/>
      <c r="F49" s="302">
        <f>IFERROR(SUM(D49:E49)/C49,0)</f>
        <v>0.1</v>
      </c>
    </row>
    <row r="50" spans="2:6">
      <c r="B50" s="240" t="s">
        <v>189</v>
      </c>
      <c r="C50" s="303">
        <f>SUM(C48:C49)</f>
        <v>145</v>
      </c>
      <c r="D50" s="304">
        <f>SUM(D47:D49)</f>
        <v>19</v>
      </c>
      <c r="E50" s="304">
        <f>SUM(E47:E49)</f>
        <v>0</v>
      </c>
      <c r="F50" s="302">
        <f>IFERROR(SUM(D50:E50)/C50,0)</f>
        <v>0.1310344827586207</v>
      </c>
    </row>
    <row r="51" spans="2:6">
      <c r="B51" s="238"/>
      <c r="C51" s="238"/>
      <c r="D51" s="238"/>
      <c r="E51" s="238"/>
      <c r="F51" s="238"/>
    </row>
    <row r="52" spans="2:6">
      <c r="B52" s="300" t="s">
        <v>88</v>
      </c>
      <c r="C52" s="11" t="s">
        <v>182</v>
      </c>
      <c r="D52" s="11" t="s">
        <v>183</v>
      </c>
      <c r="E52" s="11" t="s">
        <v>184</v>
      </c>
      <c r="F52" s="11" t="s">
        <v>185</v>
      </c>
    </row>
    <row r="53" spans="2:6">
      <c r="B53" s="300"/>
      <c r="C53" s="11"/>
      <c r="D53" s="11"/>
      <c r="E53" s="11"/>
      <c r="F53" s="11"/>
    </row>
    <row r="54" spans="2:6">
      <c r="B54" s="238" t="s">
        <v>191</v>
      </c>
      <c r="C54" s="305">
        <f>'3. Working capital'!C12</f>
        <v>250</v>
      </c>
      <c r="D54" s="301">
        <f>'3. Working capital'!D25</f>
        <v>100</v>
      </c>
      <c r="E54" s="301"/>
      <c r="F54" s="302">
        <f>IFERROR(SUM(D54:E54)/C54,0)</f>
        <v>0.4</v>
      </c>
    </row>
    <row r="55" spans="2:6">
      <c r="B55" s="238" t="s">
        <v>187</v>
      </c>
      <c r="C55" s="305">
        <f>'3. Working capital'!D12-C56+150</f>
        <v>110</v>
      </c>
      <c r="D55" s="415">
        <f>ROUND('3. Working capital'!E25,2)</f>
        <v>10</v>
      </c>
      <c r="E55" s="301"/>
      <c r="F55" s="302">
        <f>IFERROR(SUM(D55:E55)/C55,0)</f>
        <v>9.0909090909090912E-2</v>
      </c>
    </row>
    <row r="56" spans="2:6">
      <c r="B56" s="238" t="s">
        <v>188</v>
      </c>
      <c r="C56" s="305">
        <f>'3. Working capital'!E12</f>
        <v>50</v>
      </c>
      <c r="D56" s="301">
        <f>'3. Working capital'!F25</f>
        <v>15</v>
      </c>
      <c r="E56" s="301"/>
      <c r="F56" s="302">
        <f>IFERROR(SUM(D56:E56)/C56,0)</f>
        <v>0.3</v>
      </c>
    </row>
    <row r="57" spans="2:6">
      <c r="B57" s="240" t="s">
        <v>189</v>
      </c>
      <c r="C57" s="303">
        <f>SUM(C55:C56)</f>
        <v>160</v>
      </c>
      <c r="D57" s="304">
        <f>SUM(D54:D56)</f>
        <v>125</v>
      </c>
      <c r="E57" s="304">
        <f>SUM(E54:E56)</f>
        <v>0</v>
      </c>
      <c r="F57" s="302">
        <f>IFERROR(SUM(D57:E57)/C57,0)</f>
        <v>0.78125</v>
      </c>
    </row>
    <row r="58" spans="2:6">
      <c r="B58" s="238"/>
      <c r="C58" s="238"/>
      <c r="D58" s="238"/>
      <c r="E58" s="238"/>
      <c r="F58" s="238"/>
    </row>
    <row r="59" spans="2:6">
      <c r="B59" s="300" t="s">
        <v>66</v>
      </c>
      <c r="C59" s="11" t="s">
        <v>182</v>
      </c>
      <c r="D59" s="11" t="s">
        <v>183</v>
      </c>
      <c r="E59" s="11" t="s">
        <v>184</v>
      </c>
      <c r="F59" s="11" t="s">
        <v>185</v>
      </c>
    </row>
    <row r="60" spans="2:6">
      <c r="B60" s="238" t="s">
        <v>191</v>
      </c>
      <c r="C60" s="305">
        <f>+'3. Working capital'!C14</f>
        <v>0</v>
      </c>
      <c r="D60" s="416">
        <v>0</v>
      </c>
      <c r="E60" s="301"/>
      <c r="F60" s="302">
        <f>IFERROR(SUM(D60:E60)/C60,0)</f>
        <v>0</v>
      </c>
    </row>
    <row r="61" spans="2:6">
      <c r="B61" s="238" t="s">
        <v>187</v>
      </c>
      <c r="C61" s="305">
        <f>'3. Working capital'!D14</f>
        <v>15</v>
      </c>
      <c r="D61" s="415">
        <f>'3. Working capital'!D26+'3. Working capital'!E26</f>
        <v>15</v>
      </c>
      <c r="E61" s="301"/>
      <c r="F61" s="302">
        <f>IFERROR(SUM(D61:E61)/C61,0)</f>
        <v>1</v>
      </c>
    </row>
    <row r="62" spans="2:6">
      <c r="B62" s="238" t="s">
        <v>188</v>
      </c>
      <c r="C62" s="305">
        <v>0</v>
      </c>
      <c r="D62" s="416">
        <f>'3. Working capital'!F26</f>
        <v>0</v>
      </c>
      <c r="E62" s="301"/>
      <c r="F62" s="302">
        <f>IFERROR(SUM(D62:E62)/C62,0)</f>
        <v>0</v>
      </c>
    </row>
    <row r="63" spans="2:6">
      <c r="B63" s="240" t="s">
        <v>189</v>
      </c>
      <c r="C63" s="304">
        <f>SUM(C60:C62)</f>
        <v>15</v>
      </c>
      <c r="D63" s="304">
        <f>SUM(D60:D62)</f>
        <v>15</v>
      </c>
      <c r="E63" s="304">
        <f>SUM(E60:E62)</f>
        <v>0</v>
      </c>
      <c r="F63" s="302">
        <f>IFERROR(SUM(D63:E63)/C63,0)</f>
        <v>1</v>
      </c>
    </row>
    <row r="64" spans="2:6">
      <c r="B64" s="238"/>
      <c r="C64" s="238"/>
      <c r="D64" s="238"/>
      <c r="E64" s="238"/>
      <c r="F64" s="238"/>
    </row>
    <row r="65" spans="1:6">
      <c r="B65" s="238"/>
      <c r="C65" s="238"/>
      <c r="D65" s="238"/>
      <c r="E65" s="238"/>
      <c r="F65" s="238"/>
    </row>
    <row r="66" spans="1:6">
      <c r="B66" s="300" t="s">
        <v>111</v>
      </c>
      <c r="C66" s="11" t="s">
        <v>182</v>
      </c>
      <c r="D66" s="11" t="s">
        <v>183</v>
      </c>
      <c r="E66" s="11" t="s">
        <v>184</v>
      </c>
      <c r="F66" s="11" t="s">
        <v>185</v>
      </c>
    </row>
    <row r="67" spans="1:6">
      <c r="B67" s="238" t="s">
        <v>191</v>
      </c>
      <c r="C67" s="301">
        <f>C60+C54+C47+C41+C33</f>
        <v>625</v>
      </c>
      <c r="D67" s="301">
        <f>D60+D54+D47+D41+D33</f>
        <v>115.00004336500001</v>
      </c>
      <c r="E67" s="301">
        <f>E60+E54+E47+E41+E33</f>
        <v>0</v>
      </c>
      <c r="F67" s="302">
        <f>IFERROR(SUM(D67:E67)/C67,0)</f>
        <v>0.18400006938400001</v>
      </c>
    </row>
    <row r="68" spans="1:6">
      <c r="B68" s="238" t="s">
        <v>187</v>
      </c>
      <c r="C68" s="301">
        <f>C61+C55+C48+C42+C34</f>
        <v>365</v>
      </c>
      <c r="D68" s="301">
        <f>D61+D55+D48+D42+D34</f>
        <v>97</v>
      </c>
      <c r="E68" s="301"/>
      <c r="F68" s="302"/>
    </row>
    <row r="69" spans="1:6">
      <c r="B69" s="238" t="s">
        <v>188</v>
      </c>
      <c r="C69" s="301">
        <f>C62+C56+C49+C43+C35</f>
        <v>90</v>
      </c>
      <c r="D69" s="301">
        <f>D62+D56+D49+D43+D35</f>
        <v>20.715586000000002</v>
      </c>
      <c r="E69" s="301">
        <f>E62+E56+E49+E43+E34</f>
        <v>0</v>
      </c>
      <c r="F69" s="302">
        <f>IFERROR(SUM(D69:E69)/C69,0)</f>
        <v>0.23017317777777779</v>
      </c>
    </row>
    <row r="70" spans="1:6">
      <c r="B70" s="240" t="s">
        <v>189</v>
      </c>
      <c r="C70" s="304">
        <f>SUM(C68:C69)</f>
        <v>455</v>
      </c>
      <c r="D70" s="304">
        <f>SUM(D67:D69)</f>
        <v>232.71562936500001</v>
      </c>
      <c r="E70" s="304">
        <f>SUM(E67:E69)</f>
        <v>0</v>
      </c>
      <c r="F70" s="306">
        <f>IFERROR(D70/C70,0)</f>
        <v>0.51146292168131868</v>
      </c>
    </row>
    <row r="73" spans="1:6" ht="15.6">
      <c r="A73">
        <v>2</v>
      </c>
      <c r="B73" s="744" t="s">
        <v>192</v>
      </c>
      <c r="C73" s="745"/>
      <c r="D73" s="745"/>
      <c r="E73" s="746"/>
    </row>
    <row r="74" spans="1:6" ht="15.6">
      <c r="B74" s="307" t="s">
        <v>84</v>
      </c>
      <c r="C74" s="307" t="s">
        <v>191</v>
      </c>
      <c r="D74" s="307" t="s">
        <v>187</v>
      </c>
      <c r="E74" s="307" t="s">
        <v>193</v>
      </c>
    </row>
    <row r="75" spans="1:6" ht="15.6">
      <c r="B75" s="308" t="s">
        <v>194</v>
      </c>
      <c r="C75" s="309">
        <f>'3. Working capital'!D22</f>
        <v>4.3365000003948809E-5</v>
      </c>
      <c r="D75" s="309">
        <f>'3. Working capital'!E22</f>
        <v>0</v>
      </c>
      <c r="E75" s="309">
        <f>'3. Working capital'!F22</f>
        <v>4</v>
      </c>
    </row>
    <row r="76" spans="1:6" ht="15.6">
      <c r="B76" s="308" t="s">
        <v>139</v>
      </c>
      <c r="C76" s="309">
        <f>'3. Working capital'!D23</f>
        <v>0</v>
      </c>
      <c r="D76" s="309">
        <f>'3. Working capital'!E23</f>
        <v>70</v>
      </c>
      <c r="E76" s="309">
        <f>'3. Working capital'!F23</f>
        <v>0</v>
      </c>
    </row>
    <row r="77" spans="1:6" ht="15.6">
      <c r="B77" s="308" t="s">
        <v>89</v>
      </c>
      <c r="C77" s="309">
        <f>'3. Working capital'!D24</f>
        <v>15</v>
      </c>
      <c r="D77" s="309">
        <f>'3. Working capital'!E24</f>
        <v>2</v>
      </c>
      <c r="E77" s="309">
        <f>'3. Working capital'!F24</f>
        <v>2</v>
      </c>
    </row>
    <row r="78" spans="1:6" ht="15.6">
      <c r="B78" s="308" t="s">
        <v>140</v>
      </c>
      <c r="C78" s="309">
        <f>'3. Working capital'!D25</f>
        <v>100</v>
      </c>
      <c r="D78" s="309">
        <f>'3. Working capital'!E25</f>
        <v>10</v>
      </c>
      <c r="E78" s="309">
        <f>'3. Working capital'!F25</f>
        <v>15</v>
      </c>
    </row>
    <row r="79" spans="1:6" ht="15.6">
      <c r="B79" s="308" t="s">
        <v>66</v>
      </c>
      <c r="C79" s="309">
        <f>'3. Working capital'!D26</f>
        <v>0</v>
      </c>
      <c r="D79" s="309">
        <f>'3. Working capital'!E26</f>
        <v>15</v>
      </c>
      <c r="E79" s="309">
        <f>'3. Working capital'!F26</f>
        <v>0</v>
      </c>
    </row>
    <row r="80" spans="1:6" ht="15.6">
      <c r="B80" s="307" t="s">
        <v>111</v>
      </c>
      <c r="C80" s="310">
        <f>SUM(C75:C79)</f>
        <v>115.00004336500001</v>
      </c>
      <c r="D80" s="310">
        <f>SUM(D75:D79)</f>
        <v>97</v>
      </c>
      <c r="E80" s="310">
        <f>SUM(E75:E79)</f>
        <v>21</v>
      </c>
    </row>
    <row r="81" spans="1:8">
      <c r="B81" s="58"/>
      <c r="C81" s="311"/>
      <c r="D81" s="311"/>
      <c r="E81" s="311"/>
      <c r="F81" s="311"/>
      <c r="G81" s="311"/>
      <c r="H81" s="311"/>
    </row>
    <row r="83" spans="1:8">
      <c r="A83">
        <v>3</v>
      </c>
      <c r="B83" s="58" t="s">
        <v>14</v>
      </c>
      <c r="C83" s="318"/>
      <c r="D83" s="318"/>
      <c r="E83" s="318"/>
      <c r="F83" s="318"/>
    </row>
    <row r="84" spans="1:8">
      <c r="B84" s="58" t="s">
        <v>204</v>
      </c>
      <c r="C84" s="58" t="s">
        <v>205</v>
      </c>
      <c r="D84" s="325" t="s">
        <v>183</v>
      </c>
      <c r="E84" s="58"/>
    </row>
    <row r="85" spans="1:8">
      <c r="B85" s="238" t="s">
        <v>191</v>
      </c>
      <c r="C85" s="332">
        <f>SUM('3. Working capital'!C33+'3. Working capital'!C47+'3. Working capital'!C54)</f>
        <v>425</v>
      </c>
      <c r="D85" s="384">
        <f>SUM(C105)</f>
        <v>115.00004336500001</v>
      </c>
      <c r="F85" s="326"/>
    </row>
    <row r="86" spans="1:8">
      <c r="B86" s="238" t="s">
        <v>187</v>
      </c>
      <c r="C86" s="332">
        <f>SUM('3. Working capital'!C34+'3. Working capital'!C48+'3. Working capital'!C55)</f>
        <v>275</v>
      </c>
      <c r="D86" s="384">
        <f>D105</f>
        <v>12</v>
      </c>
      <c r="E86" s="326"/>
    </row>
    <row r="87" spans="1:8">
      <c r="B87" s="388" t="s">
        <v>195</v>
      </c>
      <c r="C87" s="389">
        <f>SUM('3. Working capital'!C35+'3. Working capital'!C49+'3. Working capital'!C56)</f>
        <v>80</v>
      </c>
      <c r="D87" s="390">
        <f>E105</f>
        <v>21</v>
      </c>
    </row>
    <row r="88" spans="1:8">
      <c r="B88" s="240" t="s">
        <v>111</v>
      </c>
      <c r="C88" s="391">
        <f>SUM(C86:C87)</f>
        <v>355</v>
      </c>
      <c r="D88" s="385">
        <f>SUM(D85:D87)</f>
        <v>148.00004336500001</v>
      </c>
    </row>
    <row r="89" spans="1:8">
      <c r="C89" s="318"/>
      <c r="D89" s="318"/>
    </row>
    <row r="90" spans="1:8">
      <c r="B90" s="58" t="s">
        <v>206</v>
      </c>
      <c r="C90" s="58" t="s">
        <v>205</v>
      </c>
      <c r="D90" s="325" t="s">
        <v>183</v>
      </c>
    </row>
    <row r="91" spans="1:8">
      <c r="B91" s="238" t="s">
        <v>191</v>
      </c>
      <c r="C91" s="384">
        <f>'3. Working capital'!C60</f>
        <v>0</v>
      </c>
      <c r="D91" s="384">
        <v>0</v>
      </c>
    </row>
    <row r="92" spans="1:8">
      <c r="B92" s="238" t="s">
        <v>187</v>
      </c>
      <c r="C92" s="384">
        <f>'3. Working capital'!C61</f>
        <v>15</v>
      </c>
      <c r="D92" s="384">
        <f>+D107</f>
        <v>15</v>
      </c>
    </row>
    <row r="93" spans="1:8">
      <c r="B93" s="238" t="s">
        <v>195</v>
      </c>
      <c r="C93" s="384">
        <f>'3. Working capital'!C62</f>
        <v>0</v>
      </c>
      <c r="D93" s="384">
        <f>H106</f>
        <v>0</v>
      </c>
    </row>
    <row r="94" spans="1:8">
      <c r="B94" s="240" t="s">
        <v>111</v>
      </c>
      <c r="C94" s="385">
        <f>SUM(C91:C93)</f>
        <v>15</v>
      </c>
      <c r="D94" s="385">
        <f>SUM(D91:D93)</f>
        <v>15</v>
      </c>
      <c r="F94" s="327"/>
    </row>
    <row r="95" spans="1:8">
      <c r="F95" s="41"/>
    </row>
    <row r="96" spans="1:8">
      <c r="B96" s="58" t="s">
        <v>207</v>
      </c>
      <c r="C96" s="58" t="s">
        <v>205</v>
      </c>
      <c r="D96" s="325" t="s">
        <v>183</v>
      </c>
    </row>
    <row r="97" spans="2:6">
      <c r="B97" s="238" t="s">
        <v>191</v>
      </c>
      <c r="C97" s="384">
        <f>'3. Working capital'!C41</f>
        <v>200</v>
      </c>
      <c r="D97" s="384">
        <f>C107</f>
        <v>0</v>
      </c>
    </row>
    <row r="98" spans="2:6">
      <c r="B98" s="238" t="s">
        <v>187</v>
      </c>
      <c r="C98" s="384">
        <f>'3. Working capital'!C42</f>
        <v>75</v>
      </c>
      <c r="D98" s="384">
        <f>D106</f>
        <v>70</v>
      </c>
    </row>
    <row r="99" spans="2:6">
      <c r="B99" s="238" t="s">
        <v>195</v>
      </c>
      <c r="C99" s="384">
        <f>'3. Working capital'!C43</f>
        <v>10</v>
      </c>
      <c r="D99" s="384">
        <f>E107</f>
        <v>0</v>
      </c>
    </row>
    <row r="100" spans="2:6">
      <c r="B100" s="240" t="s">
        <v>111</v>
      </c>
      <c r="C100" s="385">
        <f>SUM(C98:C99)</f>
        <v>85</v>
      </c>
      <c r="D100" s="385">
        <f>SUM(D97:D99)</f>
        <v>70</v>
      </c>
    </row>
    <row r="102" spans="2:6" ht="15.6">
      <c r="B102" s="211"/>
      <c r="C102" s="328"/>
      <c r="D102" s="328"/>
      <c r="E102" s="328"/>
    </row>
    <row r="103" spans="2:6">
      <c r="B103" s="747" t="s">
        <v>208</v>
      </c>
      <c r="C103" s="747"/>
      <c r="D103" s="747"/>
      <c r="E103" s="747"/>
    </row>
    <row r="104" spans="2:6">
      <c r="B104" s="329" t="s">
        <v>209</v>
      </c>
      <c r="C104" s="330" t="s">
        <v>191</v>
      </c>
      <c r="D104" s="330" t="s">
        <v>187</v>
      </c>
      <c r="E104" s="330" t="s">
        <v>193</v>
      </c>
      <c r="F104" s="318"/>
    </row>
    <row r="105" spans="2:6">
      <c r="B105" s="240" t="s">
        <v>204</v>
      </c>
      <c r="C105" s="384">
        <f>'3. Working capital'!D22+'3. Working capital'!D24+'3. Working capital'!D25+'3. Working capital'!D27</f>
        <v>115.00004336500001</v>
      </c>
      <c r="D105" s="384">
        <f>'3. Working capital'!E22+'3. Working capital'!E24+'3. Working capital'!E25+'3. Working capital'!E27</f>
        <v>12</v>
      </c>
      <c r="E105" s="384">
        <f>'3. Working capital'!F22+'3. Working capital'!F24+'3. Working capital'!F25+'3. Working capital'!F27</f>
        <v>21</v>
      </c>
      <c r="F105" s="318"/>
    </row>
    <row r="106" spans="2:6">
      <c r="B106" s="331" t="s">
        <v>210</v>
      </c>
      <c r="C106" s="384">
        <f>'3. Working capital'!D26</f>
        <v>0</v>
      </c>
      <c r="D106" s="384">
        <f>'3. Working capital'!E23</f>
        <v>70</v>
      </c>
      <c r="E106" s="384">
        <f>'3. Working capital'!F23</f>
        <v>0</v>
      </c>
      <c r="F106" s="318"/>
    </row>
    <row r="107" spans="2:6">
      <c r="B107" s="240" t="s">
        <v>206</v>
      </c>
      <c r="C107" s="384">
        <f>'3. Working capital'!D23</f>
        <v>0</v>
      </c>
      <c r="D107" s="384">
        <f>'3. Working capital'!E26</f>
        <v>15</v>
      </c>
      <c r="E107" s="384">
        <f>'3. Working capital'!F26</f>
        <v>0</v>
      </c>
      <c r="F107" s="318"/>
    </row>
    <row r="108" spans="2:6">
      <c r="B108" s="240" t="s">
        <v>111</v>
      </c>
      <c r="C108" s="385">
        <f>SUM(C105:C107)</f>
        <v>115.00004336500001</v>
      </c>
      <c r="D108" s="385">
        <f>SUM(D105:D107)</f>
        <v>97</v>
      </c>
      <c r="E108" s="385">
        <f>SUM(E105:E107)</f>
        <v>21</v>
      </c>
      <c r="F108" s="318"/>
    </row>
    <row r="109" spans="2:6">
      <c r="C109" s="312"/>
      <c r="D109" s="312"/>
      <c r="E109" s="312"/>
      <c r="F109" s="312"/>
    </row>
    <row r="110" spans="2:6" ht="15.6">
      <c r="B110" s="748" t="s">
        <v>211</v>
      </c>
      <c r="C110" s="749"/>
      <c r="D110" s="749"/>
      <c r="E110" s="750"/>
    </row>
    <row r="111" spans="2:6" ht="15.6">
      <c r="B111" s="307" t="s">
        <v>84</v>
      </c>
      <c r="C111" s="307" t="s">
        <v>191</v>
      </c>
      <c r="D111" s="307" t="s">
        <v>187</v>
      </c>
      <c r="E111" s="307" t="s">
        <v>193</v>
      </c>
    </row>
    <row r="112" spans="2:6" ht="15.6">
      <c r="B112" s="333" t="s">
        <v>204</v>
      </c>
      <c r="C112" s="218">
        <f>C80-C76-C79</f>
        <v>115.00004336500001</v>
      </c>
      <c r="D112" s="218">
        <f>D80-D76-D79</f>
        <v>12</v>
      </c>
      <c r="E112" s="218">
        <f>E80-E76-E79</f>
        <v>21</v>
      </c>
    </row>
    <row r="113" spans="2:5" ht="15.6">
      <c r="B113" s="333" t="s">
        <v>207</v>
      </c>
      <c r="C113" s="218">
        <f>C76</f>
        <v>0</v>
      </c>
      <c r="D113" s="218">
        <f>'3. Working capital'!D98</f>
        <v>70</v>
      </c>
      <c r="E113" s="218">
        <f>E76</f>
        <v>0</v>
      </c>
    </row>
    <row r="114" spans="2:5" ht="15.6">
      <c r="B114" s="333" t="s">
        <v>206</v>
      </c>
      <c r="C114" s="218">
        <f>C79</f>
        <v>0</v>
      </c>
      <c r="D114" s="218">
        <f>D79</f>
        <v>15</v>
      </c>
      <c r="E114" s="218">
        <f>E79</f>
        <v>0</v>
      </c>
    </row>
    <row r="115" spans="2:5" ht="15.6">
      <c r="B115" s="307" t="s">
        <v>111</v>
      </c>
      <c r="C115" s="310">
        <f>SUM(C112:C114)</f>
        <v>115.00004336500001</v>
      </c>
      <c r="D115" s="310">
        <f>SUM(D112:D114)</f>
        <v>97</v>
      </c>
      <c r="E115" s="310">
        <f>SUM(E112:E114)</f>
        <v>21</v>
      </c>
    </row>
  </sheetData>
  <mergeCells count="3">
    <mergeCell ref="B73:E73"/>
    <mergeCell ref="B103:E103"/>
    <mergeCell ref="B110:E110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8014-9D45-4430-BAC6-9846754384BF}">
  <sheetPr codeName="Sheet5"/>
  <dimension ref="B1:V41"/>
  <sheetViews>
    <sheetView topLeftCell="B1" workbookViewId="0">
      <selection activeCell="C11" sqref="C11"/>
    </sheetView>
  </sheetViews>
  <sheetFormatPr defaultRowHeight="14.4"/>
  <cols>
    <col min="2" max="2" width="17.88671875" customWidth="1"/>
    <col min="5" max="7" width="11.88671875" customWidth="1"/>
    <col min="8" max="8" width="12.109375" customWidth="1"/>
    <col min="9" max="9" width="13.44140625" customWidth="1"/>
    <col min="21" max="21" width="7.5546875" customWidth="1"/>
  </cols>
  <sheetData>
    <row r="1" spans="2:7">
      <c r="B1" s="299" t="s">
        <v>268</v>
      </c>
    </row>
    <row r="2" spans="2:7">
      <c r="B2" t="s">
        <v>278</v>
      </c>
    </row>
    <row r="3" spans="2:7">
      <c r="B3" t="str">
        <f>+'3. Working capital'!A3</f>
        <v>Blue fields only to be updated</v>
      </c>
    </row>
    <row r="4" spans="2:7">
      <c r="B4" t="s">
        <v>272</v>
      </c>
    </row>
    <row r="8" spans="2:7">
      <c r="B8" s="58" t="s">
        <v>15</v>
      </c>
    </row>
    <row r="9" spans="2:7">
      <c r="B9" s="58"/>
      <c r="C9" t="s">
        <v>277</v>
      </c>
    </row>
    <row r="10" spans="2:7">
      <c r="B10" s="382" t="s">
        <v>84</v>
      </c>
      <c r="C10" s="271">
        <v>46265</v>
      </c>
      <c r="D10" s="271">
        <v>46295</v>
      </c>
      <c r="E10" s="271">
        <v>46326</v>
      </c>
      <c r="F10" s="271" t="s">
        <v>276</v>
      </c>
      <c r="G10" s="272"/>
    </row>
    <row r="11" spans="2:7">
      <c r="B11" s="273" t="s">
        <v>194</v>
      </c>
      <c r="C11" s="45">
        <v>0</v>
      </c>
      <c r="D11" s="45">
        <v>0</v>
      </c>
      <c r="E11" s="45">
        <v>0</v>
      </c>
      <c r="F11" s="274">
        <v>0</v>
      </c>
      <c r="G11" s="270" t="s">
        <v>283</v>
      </c>
    </row>
    <row r="12" spans="2:7">
      <c r="B12" s="273" t="s">
        <v>139</v>
      </c>
      <c r="C12" s="45">
        <v>0</v>
      </c>
      <c r="D12" s="45">
        <v>0</v>
      </c>
      <c r="E12" s="45">
        <v>0</v>
      </c>
      <c r="F12" s="274">
        <f>+'3. Working capital'!D76</f>
        <v>70</v>
      </c>
      <c r="G12" s="270" t="s">
        <v>284</v>
      </c>
    </row>
    <row r="13" spans="2:7">
      <c r="B13" s="273" t="s">
        <v>66</v>
      </c>
      <c r="C13" s="45">
        <v>2</v>
      </c>
      <c r="D13" s="45">
        <v>0</v>
      </c>
      <c r="E13" s="45">
        <v>0</v>
      </c>
      <c r="F13" s="274">
        <v>25</v>
      </c>
      <c r="G13" s="270" t="s">
        <v>285</v>
      </c>
    </row>
    <row r="14" spans="2:7">
      <c r="B14" s="273" t="s">
        <v>140</v>
      </c>
      <c r="C14" s="45">
        <v>2</v>
      </c>
      <c r="D14" s="45">
        <v>2</v>
      </c>
      <c r="E14" s="45">
        <v>2</v>
      </c>
      <c r="F14" s="274">
        <v>20</v>
      </c>
      <c r="G14" s="270" t="s">
        <v>286</v>
      </c>
    </row>
    <row r="15" spans="2:7">
      <c r="B15" s="273" t="s">
        <v>89</v>
      </c>
      <c r="C15" s="45">
        <v>0</v>
      </c>
      <c r="D15" s="45">
        <v>0</v>
      </c>
      <c r="E15" s="45">
        <v>0</v>
      </c>
      <c r="F15" s="274">
        <v>10</v>
      </c>
      <c r="G15" s="270" t="s">
        <v>287</v>
      </c>
    </row>
    <row r="16" spans="2:7" ht="15" thickBot="1">
      <c r="B16" s="383" t="s">
        <v>111</v>
      </c>
      <c r="C16" s="276">
        <f t="shared" ref="C16:E16" si="0">SUM(C11:C15)</f>
        <v>4</v>
      </c>
      <c r="D16" s="276">
        <f t="shared" si="0"/>
        <v>2</v>
      </c>
      <c r="E16" s="276">
        <f t="shared" si="0"/>
        <v>2</v>
      </c>
      <c r="F16" s="276">
        <f>SUM(F11:F15)</f>
        <v>125</v>
      </c>
      <c r="G16" s="276" t="s">
        <v>111</v>
      </c>
    </row>
    <row r="17" spans="2:22" ht="15" thickTop="1">
      <c r="B17" s="270"/>
    </row>
    <row r="19" spans="2:22" ht="15" customHeight="1">
      <c r="B19" s="751" t="s">
        <v>141</v>
      </c>
      <c r="C19" s="752"/>
      <c r="D19" s="752"/>
      <c r="E19" s="752"/>
      <c r="F19" s="752"/>
      <c r="G19" s="752"/>
      <c r="H19" s="753"/>
      <c r="I19" s="754" t="s">
        <v>142</v>
      </c>
      <c r="J19" s="754" t="s">
        <v>143</v>
      </c>
      <c r="K19" s="754" t="s">
        <v>144</v>
      </c>
      <c r="L19" s="756" t="s">
        <v>145</v>
      </c>
      <c r="M19" s="757"/>
      <c r="N19" s="757"/>
      <c r="O19" s="757"/>
      <c r="P19" s="757"/>
      <c r="Q19" s="757"/>
      <c r="R19" s="757"/>
      <c r="S19" s="757"/>
      <c r="T19" s="757"/>
      <c r="U19" s="758"/>
    </row>
    <row r="20" spans="2:22" ht="24">
      <c r="B20" s="277" t="s">
        <v>84</v>
      </c>
      <c r="C20" s="277" t="s">
        <v>146</v>
      </c>
      <c r="D20" s="277" t="s">
        <v>147</v>
      </c>
      <c r="E20" s="277" t="s">
        <v>148</v>
      </c>
      <c r="F20" s="277" t="s">
        <v>149</v>
      </c>
      <c r="G20" s="277" t="s">
        <v>150</v>
      </c>
      <c r="H20" s="278" t="s">
        <v>151</v>
      </c>
      <c r="I20" s="755"/>
      <c r="J20" s="755"/>
      <c r="K20" s="755"/>
      <c r="L20" s="279">
        <v>2026</v>
      </c>
      <c r="M20" s="279">
        <f t="shared" ref="M20:T20" si="1">+L20+1</f>
        <v>2027</v>
      </c>
      <c r="N20" s="279">
        <f t="shared" si="1"/>
        <v>2028</v>
      </c>
      <c r="O20" s="279">
        <f t="shared" si="1"/>
        <v>2029</v>
      </c>
      <c r="P20" s="279">
        <f t="shared" si="1"/>
        <v>2030</v>
      </c>
      <c r="Q20" s="279">
        <f t="shared" si="1"/>
        <v>2031</v>
      </c>
      <c r="R20" s="279">
        <f t="shared" si="1"/>
        <v>2032</v>
      </c>
      <c r="S20" s="279">
        <f t="shared" si="1"/>
        <v>2033</v>
      </c>
      <c r="T20" s="279">
        <f t="shared" si="1"/>
        <v>2034</v>
      </c>
      <c r="U20" s="279" t="s">
        <v>152</v>
      </c>
    </row>
    <row r="21" spans="2:22" ht="24">
      <c r="B21" s="280" t="s">
        <v>153</v>
      </c>
      <c r="C21" s="281" t="s">
        <v>154</v>
      </c>
      <c r="D21" s="282">
        <v>100</v>
      </c>
      <c r="E21" s="283" t="s">
        <v>155</v>
      </c>
      <c r="F21" s="284">
        <v>44383</v>
      </c>
      <c r="G21" s="284">
        <v>47263</v>
      </c>
      <c r="H21" s="283" t="s">
        <v>156</v>
      </c>
      <c r="I21" s="285">
        <v>50</v>
      </c>
      <c r="J21" s="392">
        <v>8</v>
      </c>
      <c r="K21" s="393">
        <f>+D21-I21-J21</f>
        <v>42</v>
      </c>
      <c r="L21" s="393">
        <v>5</v>
      </c>
      <c r="M21" s="282">
        <v>10</v>
      </c>
      <c r="N21" s="282">
        <f>+M21</f>
        <v>10</v>
      </c>
      <c r="O21" s="282">
        <v>17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414">
        <f t="shared" ref="V21:V25" si="2">K21-SUM(L21:U21)</f>
        <v>0</v>
      </c>
    </row>
    <row r="22" spans="2:22">
      <c r="B22" s="286" t="s">
        <v>66</v>
      </c>
      <c r="C22" s="281" t="s">
        <v>157</v>
      </c>
      <c r="D22" s="282">
        <f>+D21+25</f>
        <v>125</v>
      </c>
      <c r="E22" s="283" t="s">
        <v>158</v>
      </c>
      <c r="F22" s="284">
        <v>44888</v>
      </c>
      <c r="G22" s="284">
        <v>46703</v>
      </c>
      <c r="H22" s="283" t="s">
        <v>159</v>
      </c>
      <c r="I22" s="285">
        <v>50</v>
      </c>
      <c r="J22" s="392">
        <v>15</v>
      </c>
      <c r="K22" s="393">
        <f>+D22-I22-J22</f>
        <v>60</v>
      </c>
      <c r="L22" s="393">
        <v>26.1</v>
      </c>
      <c r="M22" s="282">
        <v>33.9</v>
      </c>
      <c r="N22" s="282">
        <v>0</v>
      </c>
      <c r="O22" s="282">
        <v>0</v>
      </c>
      <c r="P22" s="282">
        <v>0</v>
      </c>
      <c r="Q22" s="282">
        <v>0</v>
      </c>
      <c r="R22" s="282">
        <v>0</v>
      </c>
      <c r="S22" s="282">
        <v>0</v>
      </c>
      <c r="T22" s="282">
        <v>0</v>
      </c>
      <c r="U22" s="282">
        <v>0</v>
      </c>
      <c r="V22" s="414">
        <f t="shared" si="2"/>
        <v>0</v>
      </c>
    </row>
    <row r="23" spans="2:22">
      <c r="B23" s="286" t="s">
        <v>160</v>
      </c>
      <c r="C23" s="281" t="s">
        <v>161</v>
      </c>
      <c r="D23" s="282">
        <f t="shared" ref="D23:D24" si="3">+D22+25</f>
        <v>150</v>
      </c>
      <c r="E23" s="283" t="s">
        <v>155</v>
      </c>
      <c r="F23" s="284">
        <v>45029</v>
      </c>
      <c r="G23" s="284">
        <v>47951</v>
      </c>
      <c r="H23" s="283" t="s">
        <v>162</v>
      </c>
      <c r="I23" s="285">
        <v>30</v>
      </c>
      <c r="J23" s="392">
        <v>3</v>
      </c>
      <c r="K23" s="393">
        <f>+D23-I23-J23</f>
        <v>117</v>
      </c>
      <c r="L23" s="393">
        <v>7</v>
      </c>
      <c r="M23" s="282">
        <v>20</v>
      </c>
      <c r="N23" s="282">
        <f>+M23</f>
        <v>20</v>
      </c>
      <c r="O23" s="282">
        <f t="shared" ref="O23:P23" si="4">+N23</f>
        <v>20</v>
      </c>
      <c r="P23" s="282">
        <f t="shared" si="4"/>
        <v>20</v>
      </c>
      <c r="Q23" s="282">
        <v>30</v>
      </c>
      <c r="R23" s="282">
        <v>0</v>
      </c>
      <c r="S23" s="282">
        <v>0</v>
      </c>
      <c r="T23" s="282">
        <v>0</v>
      </c>
      <c r="U23" s="282">
        <v>0</v>
      </c>
      <c r="V23" s="414">
        <f t="shared" si="2"/>
        <v>0</v>
      </c>
    </row>
    <row r="24" spans="2:22" ht="24">
      <c r="B24" s="280" t="s">
        <v>153</v>
      </c>
      <c r="C24" s="281" t="s">
        <v>163</v>
      </c>
      <c r="D24" s="282">
        <f t="shared" si="3"/>
        <v>175</v>
      </c>
      <c r="E24" s="283" t="s">
        <v>164</v>
      </c>
      <c r="F24" s="284">
        <v>46037</v>
      </c>
      <c r="G24" s="284">
        <v>12067</v>
      </c>
      <c r="H24" s="283" t="s">
        <v>156</v>
      </c>
      <c r="I24" s="285">
        <v>0</v>
      </c>
      <c r="J24" s="392">
        <v>0</v>
      </c>
      <c r="K24" s="393">
        <f>+D24-I24-J24</f>
        <v>175</v>
      </c>
      <c r="L24" s="393">
        <f>6.17*2</f>
        <v>12.34</v>
      </c>
      <c r="M24" s="282">
        <v>20</v>
      </c>
      <c r="N24" s="282">
        <f>+M24</f>
        <v>20</v>
      </c>
      <c r="O24" s="282">
        <f t="shared" ref="O24:R24" si="5">+N24</f>
        <v>20</v>
      </c>
      <c r="P24" s="282">
        <f t="shared" si="5"/>
        <v>20</v>
      </c>
      <c r="Q24" s="282">
        <f t="shared" si="5"/>
        <v>20</v>
      </c>
      <c r="R24" s="282">
        <f t="shared" si="5"/>
        <v>20</v>
      </c>
      <c r="S24" s="282">
        <v>42.7</v>
      </c>
      <c r="T24" s="282">
        <v>0</v>
      </c>
      <c r="U24" s="282">
        <v>0</v>
      </c>
      <c r="V24" s="414">
        <f t="shared" si="2"/>
        <v>-4.0000000000020464E-2</v>
      </c>
    </row>
    <row r="25" spans="2:22">
      <c r="B25" s="286" t="s">
        <v>160</v>
      </c>
      <c r="C25" s="281" t="s">
        <v>165</v>
      </c>
      <c r="D25" s="282">
        <v>100</v>
      </c>
      <c r="E25" s="283" t="s">
        <v>155</v>
      </c>
      <c r="F25" s="284">
        <v>46197</v>
      </c>
      <c r="G25" s="284">
        <v>49119</v>
      </c>
      <c r="H25" s="283" t="s">
        <v>156</v>
      </c>
      <c r="I25" s="285">
        <v>0</v>
      </c>
      <c r="J25" s="392">
        <v>0</v>
      </c>
      <c r="K25" s="393">
        <f>+D25-I25-J25</f>
        <v>100</v>
      </c>
      <c r="L25" s="393">
        <v>0</v>
      </c>
      <c r="M25" s="282">
        <v>5</v>
      </c>
      <c r="N25" s="282">
        <v>11.5</v>
      </c>
      <c r="O25" s="282">
        <f>+N25</f>
        <v>11.5</v>
      </c>
      <c r="P25" s="282">
        <f t="shared" ref="P25:S25" si="6">+O25</f>
        <v>11.5</v>
      </c>
      <c r="Q25" s="282">
        <f t="shared" si="6"/>
        <v>11.5</v>
      </c>
      <c r="R25" s="282">
        <f t="shared" si="6"/>
        <v>11.5</v>
      </c>
      <c r="S25" s="282">
        <f t="shared" si="6"/>
        <v>11.5</v>
      </c>
      <c r="T25" s="282">
        <v>26</v>
      </c>
      <c r="U25" s="282">
        <v>0</v>
      </c>
      <c r="V25" s="414">
        <f t="shared" si="2"/>
        <v>0</v>
      </c>
    </row>
    <row r="26" spans="2:22">
      <c r="B26" s="287"/>
      <c r="C26" s="288" t="s">
        <v>111</v>
      </c>
      <c r="D26" s="289">
        <f>SUM(D21:D25)</f>
        <v>650</v>
      </c>
      <c r="E26" s="290"/>
      <c r="F26" s="290"/>
      <c r="G26" s="290"/>
      <c r="H26" s="290"/>
      <c r="I26" s="289">
        <f t="shared" ref="I26:U26" si="7">SUM(I21:I25)</f>
        <v>130</v>
      </c>
      <c r="J26" s="289">
        <f t="shared" si="7"/>
        <v>26</v>
      </c>
      <c r="K26" s="289">
        <f t="shared" si="7"/>
        <v>494</v>
      </c>
      <c r="L26" s="289">
        <f t="shared" si="7"/>
        <v>50.44</v>
      </c>
      <c r="M26" s="289">
        <f t="shared" si="7"/>
        <v>88.9</v>
      </c>
      <c r="N26" s="289">
        <f t="shared" si="7"/>
        <v>61.5</v>
      </c>
      <c r="O26" s="289">
        <f t="shared" si="7"/>
        <v>68.5</v>
      </c>
      <c r="P26" s="289">
        <f t="shared" si="7"/>
        <v>51.5</v>
      </c>
      <c r="Q26" s="289">
        <f t="shared" si="7"/>
        <v>61.5</v>
      </c>
      <c r="R26" s="289">
        <f t="shared" si="7"/>
        <v>31.5</v>
      </c>
      <c r="S26" s="289">
        <f t="shared" si="7"/>
        <v>54.2</v>
      </c>
      <c r="T26" s="289">
        <f t="shared" si="7"/>
        <v>26</v>
      </c>
      <c r="U26" s="289">
        <f t="shared" si="7"/>
        <v>0</v>
      </c>
    </row>
    <row r="27" spans="2:22">
      <c r="B27" s="291" t="s">
        <v>166</v>
      </c>
      <c r="U27" s="292"/>
    </row>
    <row r="28" spans="2:22">
      <c r="B28" s="286" t="s">
        <v>160</v>
      </c>
      <c r="C28" s="293" t="s">
        <v>167</v>
      </c>
      <c r="D28" s="282">
        <v>100</v>
      </c>
      <c r="E28" s="283" t="s">
        <v>168</v>
      </c>
      <c r="F28" s="284">
        <v>46252</v>
      </c>
      <c r="G28" s="284">
        <f>+F28+12*30+5</f>
        <v>46617</v>
      </c>
      <c r="H28" s="283" t="s">
        <v>156</v>
      </c>
      <c r="I28" s="285">
        <v>0</v>
      </c>
      <c r="J28" s="392">
        <v>0</v>
      </c>
      <c r="K28" s="393">
        <f>+D28-I28-J28</f>
        <v>100</v>
      </c>
      <c r="L28" s="393">
        <v>0</v>
      </c>
      <c r="M28" s="282">
        <v>0</v>
      </c>
      <c r="N28" s="282">
        <v>2.0499999999999998</v>
      </c>
      <c r="O28" s="282">
        <v>8.1999999999999993</v>
      </c>
      <c r="P28" s="282">
        <f>+O28</f>
        <v>8.1999999999999993</v>
      </c>
      <c r="Q28" s="282">
        <f t="shared" ref="Q28:T28" si="8">+P28</f>
        <v>8.1999999999999993</v>
      </c>
      <c r="R28" s="282">
        <f t="shared" si="8"/>
        <v>8.1999999999999993</v>
      </c>
      <c r="S28" s="282">
        <f t="shared" si="8"/>
        <v>8.1999999999999993</v>
      </c>
      <c r="T28" s="282">
        <f t="shared" si="8"/>
        <v>8.1999999999999993</v>
      </c>
      <c r="U28" s="282">
        <v>48.8</v>
      </c>
      <c r="V28" s="414">
        <f>K28-SUM(L28:U28)</f>
        <v>-4.9999999999997158E-2</v>
      </c>
    </row>
    <row r="29" spans="2:22">
      <c r="B29" s="294" t="s">
        <v>169</v>
      </c>
      <c r="C29" s="294"/>
      <c r="D29" s="289">
        <f>SUM(D26:D28)</f>
        <v>750</v>
      </c>
      <c r="E29" s="290"/>
      <c r="F29" s="290"/>
      <c r="G29" s="290"/>
      <c r="H29" s="290"/>
      <c r="I29" s="289">
        <f t="shared" ref="I29:U29" si="9">SUM(I26:I28)</f>
        <v>130</v>
      </c>
      <c r="J29" s="289">
        <f t="shared" si="9"/>
        <v>26</v>
      </c>
      <c r="K29" s="289">
        <f t="shared" si="9"/>
        <v>594</v>
      </c>
      <c r="L29" s="289">
        <f t="shared" si="9"/>
        <v>50.44</v>
      </c>
      <c r="M29" s="289">
        <f t="shared" si="9"/>
        <v>88.9</v>
      </c>
      <c r="N29" s="289">
        <f t="shared" si="9"/>
        <v>63.55</v>
      </c>
      <c r="O29" s="289">
        <f t="shared" si="9"/>
        <v>76.7</v>
      </c>
      <c r="P29" s="289">
        <f t="shared" si="9"/>
        <v>59.7</v>
      </c>
      <c r="Q29" s="289">
        <f t="shared" si="9"/>
        <v>69.7</v>
      </c>
      <c r="R29" s="289">
        <f t="shared" si="9"/>
        <v>39.700000000000003</v>
      </c>
      <c r="S29" s="289">
        <f t="shared" si="9"/>
        <v>62.400000000000006</v>
      </c>
      <c r="T29" s="289">
        <f t="shared" si="9"/>
        <v>34.200000000000003</v>
      </c>
      <c r="U29" s="289">
        <f t="shared" si="9"/>
        <v>48.8</v>
      </c>
    </row>
    <row r="32" spans="2:22" ht="28.8">
      <c r="B32" s="295"/>
      <c r="C32" s="295"/>
      <c r="D32" s="295"/>
      <c r="E32" s="295" t="s">
        <v>170</v>
      </c>
      <c r="F32" s="295" t="s">
        <v>71</v>
      </c>
      <c r="G32" s="295" t="s">
        <v>66</v>
      </c>
      <c r="H32" s="295" t="s">
        <v>72</v>
      </c>
      <c r="I32" s="295" t="s">
        <v>171</v>
      </c>
    </row>
    <row r="33" spans="2:9">
      <c r="B33" s="275" t="s">
        <v>172</v>
      </c>
      <c r="C33" s="296">
        <f t="shared" ref="C33:C40" si="10">(E33+F33+G33+H33+I33)/10^6</f>
        <v>1.8482821609016655</v>
      </c>
      <c r="D33" s="275"/>
      <c r="E33" s="297">
        <f>168674.69879518*3</f>
        <v>506024.09638554003</v>
      </c>
      <c r="F33" s="298">
        <f>367741.93548387*3.65</f>
        <v>1342258.0645161255</v>
      </c>
      <c r="G33" s="297"/>
      <c r="H33" s="275"/>
      <c r="I33" s="275"/>
    </row>
    <row r="34" spans="2:9">
      <c r="B34" s="275" t="s">
        <v>173</v>
      </c>
      <c r="C34" s="296">
        <f t="shared" si="10"/>
        <v>2.1092571609016657</v>
      </c>
      <c r="D34" s="275"/>
      <c r="E34" s="297">
        <f>168674.69879518*3</f>
        <v>506024.09638554003</v>
      </c>
      <c r="F34" s="298">
        <f>367741.93548387*3.65</f>
        <v>1342258.0645161255</v>
      </c>
      <c r="G34" s="297">
        <v>260975</v>
      </c>
      <c r="H34" s="275"/>
      <c r="I34" s="275"/>
    </row>
    <row r="35" spans="2:9">
      <c r="B35" s="275" t="s">
        <v>174</v>
      </c>
      <c r="C35" s="296">
        <f t="shared" si="10"/>
        <v>1.8482821609016655</v>
      </c>
      <c r="D35" s="275"/>
      <c r="E35" s="387">
        <f>168674.69879518*3</f>
        <v>506024.09638554003</v>
      </c>
      <c r="F35" s="394">
        <f t="shared" ref="F35:F40" si="11">367741.93548387*3.65</f>
        <v>1342258.0645161255</v>
      </c>
      <c r="G35" s="387"/>
      <c r="H35" s="387"/>
      <c r="I35" s="395"/>
    </row>
    <row r="36" spans="2:9">
      <c r="B36" s="275" t="s">
        <v>175</v>
      </c>
      <c r="C36" s="296">
        <f t="shared" si="10"/>
        <v>4.6277571609016661</v>
      </c>
      <c r="D36" s="275"/>
      <c r="E36" s="387">
        <f>168674.69879518*3</f>
        <v>506024.09638554003</v>
      </c>
      <c r="F36" s="394">
        <f t="shared" si="11"/>
        <v>1342258.0645161255</v>
      </c>
      <c r="G36" s="387">
        <f>+G34</f>
        <v>260975</v>
      </c>
      <c r="H36" s="387">
        <f>690000*3.65</f>
        <v>2518500</v>
      </c>
      <c r="I36" s="395"/>
    </row>
    <row r="37" spans="2:9">
      <c r="B37" s="275" t="s">
        <v>176</v>
      </c>
      <c r="C37" s="296">
        <f t="shared" si="10"/>
        <v>4.3667821609016659</v>
      </c>
      <c r="D37" s="275"/>
      <c r="E37" s="387">
        <f t="shared" ref="E37:E40" si="12">168674.69879518*3</f>
        <v>506024.09638554003</v>
      </c>
      <c r="F37" s="394">
        <f t="shared" si="11"/>
        <v>1342258.0645161255</v>
      </c>
      <c r="G37" s="387"/>
      <c r="H37" s="387">
        <f>690000*3.65</f>
        <v>2518500</v>
      </c>
      <c r="I37" s="395"/>
    </row>
    <row r="38" spans="2:9">
      <c r="B38" s="275" t="s">
        <v>177</v>
      </c>
      <c r="C38" s="296">
        <f t="shared" si="10"/>
        <v>4.6277571609016661</v>
      </c>
      <c r="D38" s="275"/>
      <c r="E38" s="387">
        <f t="shared" si="12"/>
        <v>506024.09638554003</v>
      </c>
      <c r="F38" s="394">
        <f t="shared" si="11"/>
        <v>1342258.0645161255</v>
      </c>
      <c r="G38" s="387">
        <f>+G36</f>
        <v>260975</v>
      </c>
      <c r="H38" s="387">
        <f>690000*3.65</f>
        <v>2518500</v>
      </c>
      <c r="I38" s="395"/>
    </row>
    <row r="39" spans="2:9">
      <c r="B39" s="275" t="s">
        <v>178</v>
      </c>
      <c r="C39" s="296">
        <f t="shared" si="10"/>
        <v>5.3519673460868562</v>
      </c>
      <c r="D39" s="275"/>
      <c r="E39" s="387">
        <f t="shared" si="12"/>
        <v>506024.09638554003</v>
      </c>
      <c r="F39" s="394">
        <f t="shared" si="11"/>
        <v>1342258.0645161255</v>
      </c>
      <c r="G39" s="387"/>
      <c r="H39" s="387">
        <f>690000*3.65</f>
        <v>2518500</v>
      </c>
      <c r="I39" s="396">
        <v>985185.18518519006</v>
      </c>
    </row>
    <row r="40" spans="2:9">
      <c r="B40" s="275" t="s">
        <v>179</v>
      </c>
      <c r="C40" s="296">
        <f t="shared" si="10"/>
        <v>5.6129423460868564</v>
      </c>
      <c r="D40" s="275"/>
      <c r="E40" s="387">
        <f t="shared" si="12"/>
        <v>506024.09638554003</v>
      </c>
      <c r="F40" s="394">
        <f t="shared" si="11"/>
        <v>1342258.0645161255</v>
      </c>
      <c r="G40" s="387">
        <f>+G38</f>
        <v>260975</v>
      </c>
      <c r="H40" s="387">
        <f>690000*3.65</f>
        <v>2518500</v>
      </c>
      <c r="I40" s="396">
        <v>985185.18518519006</v>
      </c>
    </row>
    <row r="41" spans="2:9">
      <c r="B41" s="275"/>
      <c r="C41" s="275"/>
      <c r="D41" s="275"/>
      <c r="E41" s="296">
        <f>SUM(E37:E40)/10^6</f>
        <v>2.0240963855421601</v>
      </c>
      <c r="F41" s="296">
        <f>SUM(F37:F40)/10^6</f>
        <v>5.369032258064502</v>
      </c>
      <c r="G41" s="296">
        <f>SUM(G37:G40)/10^6</f>
        <v>0.52195000000000003</v>
      </c>
      <c r="H41" s="296">
        <f>SUM(H37:H40)/10^6</f>
        <v>10.074</v>
      </c>
      <c r="I41" s="296">
        <f>SUM(I37:I40)/10^6</f>
        <v>1.9703703703703801</v>
      </c>
    </row>
  </sheetData>
  <mergeCells count="5">
    <mergeCell ref="B19:H19"/>
    <mergeCell ref="I19:I20"/>
    <mergeCell ref="J19:J20"/>
    <mergeCell ref="K19:K20"/>
    <mergeCell ref="L19:U1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B726-9D6A-428A-B596-958B52605344}">
  <sheetPr codeName="Sheet6"/>
  <dimension ref="A1:K51"/>
  <sheetViews>
    <sheetView topLeftCell="A34" workbookViewId="0">
      <selection activeCell="G54" sqref="G54"/>
    </sheetView>
  </sheetViews>
  <sheetFormatPr defaultRowHeight="14.4"/>
  <cols>
    <col min="2" max="2" width="51" customWidth="1"/>
    <col min="3" max="7" width="14.88671875" customWidth="1"/>
    <col min="8" max="8" width="15.5546875" customWidth="1"/>
    <col min="9" max="9" width="15.88671875" customWidth="1"/>
    <col min="10" max="10" width="15.33203125" customWidth="1"/>
  </cols>
  <sheetData>
    <row r="1" spans="1:4">
      <c r="A1" s="299" t="s">
        <v>268</v>
      </c>
    </row>
    <row r="2" spans="1:4">
      <c r="A2" t="s">
        <v>278</v>
      </c>
    </row>
    <row r="3" spans="1:4">
      <c r="A3" t="str">
        <f>+'4. Loan'!B3</f>
        <v>Blue fields only to be updated</v>
      </c>
    </row>
    <row r="4" spans="1:4">
      <c r="A4" t="s">
        <v>272</v>
      </c>
    </row>
    <row r="8" spans="1:4">
      <c r="D8" s="56"/>
    </row>
    <row r="9" spans="1:4">
      <c r="B9" t="s">
        <v>106</v>
      </c>
      <c r="C9" s="410">
        <v>46249</v>
      </c>
    </row>
    <row r="10" spans="1:4">
      <c r="B10" t="s">
        <v>107</v>
      </c>
      <c r="C10" s="94" t="s">
        <v>108</v>
      </c>
    </row>
    <row r="11" spans="1:4">
      <c r="B11" t="s">
        <v>280</v>
      </c>
      <c r="C11" s="411">
        <f>+'4. Loan'!F16</f>
        <v>125</v>
      </c>
    </row>
    <row r="12" spans="1:4">
      <c r="B12" t="s">
        <v>281</v>
      </c>
      <c r="C12" s="411">
        <f>+'4. Loan'!K26</f>
        <v>494</v>
      </c>
    </row>
    <row r="13" spans="1:4">
      <c r="B13" t="s">
        <v>109</v>
      </c>
      <c r="C13" s="60">
        <v>0</v>
      </c>
    </row>
    <row r="14" spans="1:4">
      <c r="B14" t="s">
        <v>110</v>
      </c>
      <c r="C14" s="60" t="e">
        <f>+#REF!</f>
        <v>#REF!</v>
      </c>
    </row>
    <row r="15" spans="1:4">
      <c r="B15" t="s">
        <v>111</v>
      </c>
      <c r="C15" s="60" t="e">
        <f>SUM(C11:C14)</f>
        <v>#REF!</v>
      </c>
    </row>
    <row r="16" spans="1:4" ht="15" thickBot="1"/>
    <row r="17" spans="2:11" ht="15" thickBot="1">
      <c r="B17" s="412" t="str">
        <f>'5. Debt &amp; Equity'!B24</f>
        <v>Equity (Book value)</v>
      </c>
      <c r="C17" s="413" t="s">
        <v>134</v>
      </c>
      <c r="D17" s="267" t="s">
        <v>135</v>
      </c>
      <c r="E17" s="268" t="s">
        <v>136</v>
      </c>
      <c r="F17" s="268" t="s">
        <v>137</v>
      </c>
      <c r="G17" s="267" t="s">
        <v>138</v>
      </c>
      <c r="H17" s="268" t="s">
        <v>279</v>
      </c>
      <c r="I17" s="268" t="s">
        <v>115</v>
      </c>
    </row>
    <row r="18" spans="2:11" ht="15" thickBot="1">
      <c r="C18" s="413">
        <v>800</v>
      </c>
      <c r="D18" s="267">
        <v>0</v>
      </c>
      <c r="E18" s="267">
        <v>400</v>
      </c>
      <c r="F18" s="400">
        <v>500</v>
      </c>
      <c r="G18" s="267">
        <f>+F18-E18</f>
        <v>100</v>
      </c>
      <c r="H18" s="401">
        <v>50</v>
      </c>
      <c r="I18" s="269">
        <f>+C18-D18+G18+H18</f>
        <v>950</v>
      </c>
    </row>
    <row r="20" spans="2:11" ht="15" thickBot="1"/>
    <row r="21" spans="2:11" ht="18">
      <c r="B21" s="759" t="s">
        <v>112</v>
      </c>
      <c r="C21" s="760"/>
      <c r="D21" s="760"/>
      <c r="E21" s="760"/>
      <c r="F21" s="760"/>
      <c r="G21" s="761"/>
    </row>
    <row r="22" spans="2:11" ht="21" customHeight="1">
      <c r="B22" s="250" t="s">
        <v>113</v>
      </c>
      <c r="C22" s="402">
        <v>45291</v>
      </c>
      <c r="D22" s="403">
        <v>45657</v>
      </c>
      <c r="E22" s="403">
        <v>46022</v>
      </c>
      <c r="F22" s="403">
        <v>46203</v>
      </c>
      <c r="G22" s="404">
        <v>46234</v>
      </c>
    </row>
    <row r="23" spans="2:11" ht="21" customHeight="1">
      <c r="B23" s="250" t="s">
        <v>114</v>
      </c>
      <c r="C23" s="405">
        <v>100</v>
      </c>
      <c r="D23" s="405">
        <v>200</v>
      </c>
      <c r="E23" s="405">
        <v>300</v>
      </c>
      <c r="F23" s="405">
        <v>400</v>
      </c>
      <c r="G23" s="406" t="e">
        <f>'5. Debt &amp; Equity'!C15</f>
        <v>#REF!</v>
      </c>
    </row>
    <row r="24" spans="2:11" ht="21" customHeight="1">
      <c r="B24" s="250" t="s">
        <v>115</v>
      </c>
      <c r="C24" s="253">
        <v>500</v>
      </c>
      <c r="D24" s="253">
        <v>500</v>
      </c>
      <c r="E24" s="253">
        <v>600</v>
      </c>
      <c r="F24" s="253">
        <v>550</v>
      </c>
      <c r="G24" s="424">
        <f>+'5. Debt &amp; Equity'!I18</f>
        <v>950</v>
      </c>
    </row>
    <row r="25" spans="2:11" ht="21" customHeight="1">
      <c r="B25" s="407" t="s">
        <v>116</v>
      </c>
      <c r="C25" s="408">
        <f>C23/C24</f>
        <v>0.2</v>
      </c>
      <c r="D25" s="408">
        <f>D23/D24</f>
        <v>0.4</v>
      </c>
      <c r="E25" s="408">
        <f>E23/E24</f>
        <v>0.5</v>
      </c>
      <c r="F25" s="408">
        <f>F23/F24</f>
        <v>0.72727272727272729</v>
      </c>
      <c r="G25" s="409" t="e">
        <f>G23/G24</f>
        <v>#REF!</v>
      </c>
    </row>
    <row r="26" spans="2:11" ht="15" thickBot="1">
      <c r="B26" s="762"/>
      <c r="C26" s="763"/>
      <c r="D26" s="763"/>
      <c r="E26" s="763"/>
      <c r="F26" s="763"/>
      <c r="G26" s="764"/>
    </row>
    <row r="27" spans="2:11" ht="15" thickBot="1"/>
    <row r="28" spans="2:11" ht="18">
      <c r="B28" s="765" t="s">
        <v>117</v>
      </c>
      <c r="C28" s="766"/>
      <c r="D28" s="766"/>
      <c r="E28" s="766"/>
      <c r="F28" s="766"/>
      <c r="G28" s="767"/>
      <c r="H28" s="56"/>
      <c r="I28" s="56"/>
      <c r="J28" s="56"/>
      <c r="K28" s="56"/>
    </row>
    <row r="29" spans="2:11">
      <c r="B29" s="250" t="s">
        <v>113</v>
      </c>
      <c r="C29" s="251">
        <v>45291</v>
      </c>
      <c r="D29" s="251">
        <v>45657</v>
      </c>
      <c r="E29" s="251">
        <v>46022</v>
      </c>
      <c r="F29" s="251">
        <v>46203</v>
      </c>
      <c r="G29" s="252" t="s">
        <v>118</v>
      </c>
      <c r="H29" s="56"/>
      <c r="I29" s="56"/>
      <c r="J29" s="56"/>
      <c r="K29" s="56"/>
    </row>
    <row r="30" spans="2:11" ht="35.25" customHeight="1">
      <c r="B30" s="250" t="s">
        <v>119</v>
      </c>
      <c r="C30" s="253">
        <f>+C23</f>
        <v>100</v>
      </c>
      <c r="D30" s="253">
        <f t="shared" ref="D30:F30" si="0">+D23</f>
        <v>200</v>
      </c>
      <c r="E30" s="253">
        <f t="shared" si="0"/>
        <v>300</v>
      </c>
      <c r="F30" s="253">
        <f t="shared" si="0"/>
        <v>400</v>
      </c>
      <c r="G30" s="254" t="e">
        <f>'5. Debt &amp; Equity'!C15</f>
        <v>#REF!</v>
      </c>
      <c r="H30" s="56"/>
      <c r="I30" s="56"/>
      <c r="J30" s="56"/>
      <c r="K30" s="56"/>
    </row>
    <row r="31" spans="2:11" ht="35.25" customHeight="1">
      <c r="B31" s="250" t="s">
        <v>120</v>
      </c>
      <c r="C31" s="253">
        <f>SUM(C32:C34)</f>
        <v>525</v>
      </c>
      <c r="D31" s="253">
        <f>SUM(D32:D34)</f>
        <v>510</v>
      </c>
      <c r="E31" s="253">
        <f>SUM(E32:E34)</f>
        <v>560</v>
      </c>
      <c r="F31" s="253">
        <f>SUM(F32:F34)</f>
        <v>395</v>
      </c>
      <c r="G31" s="254" t="e">
        <f>SUM(G32:G34)</f>
        <v>#REF!</v>
      </c>
      <c r="H31" s="56"/>
      <c r="I31" s="56"/>
      <c r="J31" s="56"/>
      <c r="K31" s="56"/>
    </row>
    <row r="32" spans="2:11" ht="35.25" customHeight="1">
      <c r="B32" s="255" t="s">
        <v>121</v>
      </c>
      <c r="C32" s="256">
        <v>35</v>
      </c>
      <c r="D32" s="256">
        <v>50</v>
      </c>
      <c r="E32" s="256">
        <v>60</v>
      </c>
      <c r="F32" s="256">
        <v>45</v>
      </c>
      <c r="G32" s="257" t="e">
        <f>+#REF!/10^6</f>
        <v>#REF!</v>
      </c>
      <c r="H32" s="56"/>
      <c r="I32" s="56"/>
      <c r="J32" s="56"/>
      <c r="K32" s="56"/>
    </row>
    <row r="33" spans="2:11" ht="35.25" customHeight="1">
      <c r="B33" s="258" t="s">
        <v>122</v>
      </c>
      <c r="C33" s="256">
        <v>290</v>
      </c>
      <c r="D33" s="256">
        <v>260</v>
      </c>
      <c r="E33" s="256">
        <v>300</v>
      </c>
      <c r="F33" s="256">
        <v>150</v>
      </c>
      <c r="G33" s="397">
        <v>200</v>
      </c>
      <c r="H33" s="56"/>
      <c r="I33" s="56"/>
      <c r="J33" s="56"/>
      <c r="K33" s="56"/>
    </row>
    <row r="34" spans="2:11" ht="35.25" customHeight="1">
      <c r="B34" s="258" t="s">
        <v>123</v>
      </c>
      <c r="C34" s="256">
        <v>200</v>
      </c>
      <c r="D34" s="256">
        <f>+C34</f>
        <v>200</v>
      </c>
      <c r="E34" s="256">
        <f t="shared" ref="E34:F34" si="1">+D34</f>
        <v>200</v>
      </c>
      <c r="F34" s="256">
        <f t="shared" si="1"/>
        <v>200</v>
      </c>
      <c r="G34" s="397">
        <v>250</v>
      </c>
      <c r="H34" s="56"/>
      <c r="I34" s="56"/>
      <c r="J34" s="56"/>
      <c r="K34" s="56"/>
    </row>
    <row r="35" spans="2:11" ht="15" thickBot="1">
      <c r="B35" s="259" t="s">
        <v>124</v>
      </c>
      <c r="C35" s="260">
        <f>C31/C30</f>
        <v>5.25</v>
      </c>
      <c r="D35" s="260">
        <f>D31/D30</f>
        <v>2.5499999999999998</v>
      </c>
      <c r="E35" s="260">
        <f>E31/E30</f>
        <v>1.8666666666666667</v>
      </c>
      <c r="F35" s="260">
        <f>F31/F30</f>
        <v>0.98750000000000004</v>
      </c>
      <c r="G35" s="261" t="e">
        <f>G31/G30</f>
        <v>#REF!</v>
      </c>
      <c r="H35" s="56"/>
      <c r="I35" s="56"/>
      <c r="J35" s="56"/>
      <c r="K35" s="56"/>
    </row>
    <row r="36" spans="2:11">
      <c r="B36" s="768"/>
      <c r="C36" s="768"/>
      <c r="D36" s="768"/>
      <c r="E36" s="768"/>
      <c r="F36" s="768"/>
      <c r="G36" s="768"/>
      <c r="H36" s="56"/>
      <c r="I36" s="56"/>
      <c r="J36" s="56"/>
      <c r="K36" s="56"/>
    </row>
    <row r="37" spans="2:11" ht="15" thickBot="1">
      <c r="B37" s="768"/>
      <c r="C37" s="768"/>
      <c r="D37" s="768"/>
      <c r="E37" s="768"/>
      <c r="F37" s="768"/>
      <c r="G37" s="768"/>
      <c r="H37" s="56"/>
      <c r="I37" s="56"/>
      <c r="J37" s="56"/>
      <c r="K37" s="56"/>
    </row>
    <row r="38" spans="2:11" ht="18">
      <c r="B38" s="765" t="s">
        <v>125</v>
      </c>
      <c r="C38" s="766"/>
      <c r="D38" s="766"/>
      <c r="E38" s="766"/>
      <c r="F38" s="766"/>
      <c r="G38" s="767"/>
      <c r="H38" s="56"/>
      <c r="I38" s="56"/>
      <c r="J38" s="56"/>
      <c r="K38" s="56"/>
    </row>
    <row r="39" spans="2:11">
      <c r="B39" s="250" t="s">
        <v>113</v>
      </c>
      <c r="C39" s="251">
        <v>45291</v>
      </c>
      <c r="D39" s="251">
        <v>45657</v>
      </c>
      <c r="E39" s="251">
        <v>46022</v>
      </c>
      <c r="F39" s="251">
        <v>46203</v>
      </c>
      <c r="G39" s="252" t="str">
        <f>G29</f>
        <v>15-Aug-2026</v>
      </c>
      <c r="H39" s="56"/>
      <c r="I39" s="56"/>
      <c r="J39" s="56"/>
      <c r="K39" s="56"/>
    </row>
    <row r="40" spans="2:11" ht="33" customHeight="1">
      <c r="B40" s="250" t="s">
        <v>119</v>
      </c>
      <c r="C40" s="253">
        <v>525</v>
      </c>
      <c r="D40" s="253">
        <v>525</v>
      </c>
      <c r="E40" s="253">
        <v>682.4</v>
      </c>
      <c r="F40" s="253">
        <v>1173.9000000000001</v>
      </c>
      <c r="G40" s="262" t="e">
        <f>G30</f>
        <v>#REF!</v>
      </c>
      <c r="H40" s="56"/>
      <c r="I40" s="56"/>
      <c r="J40" s="56"/>
      <c r="K40" s="56"/>
    </row>
    <row r="41" spans="2:11" ht="33" customHeight="1">
      <c r="B41" s="250" t="s">
        <v>120</v>
      </c>
      <c r="C41" s="253">
        <f>SUM(C42:C44)</f>
        <v>549.5</v>
      </c>
      <c r="D41" s="253">
        <f>SUM(D42:D44)</f>
        <v>533</v>
      </c>
      <c r="E41" s="253">
        <f>SUM(E42:E44)</f>
        <v>585</v>
      </c>
      <c r="F41" s="253">
        <f>SUM(F42:F44)</f>
        <v>412.5</v>
      </c>
      <c r="G41" s="254" t="e">
        <f>SUM(G42:G44)</f>
        <v>#REF!</v>
      </c>
      <c r="H41" s="56"/>
      <c r="I41" s="56"/>
      <c r="J41" s="56"/>
      <c r="K41" s="56"/>
    </row>
    <row r="42" spans="2:11" s="34" customFormat="1" ht="33" customHeight="1">
      <c r="B42" s="255" t="s">
        <v>121</v>
      </c>
      <c r="C42" s="256">
        <f>+C32</f>
        <v>35</v>
      </c>
      <c r="D42" s="256">
        <f t="shared" ref="D42:F42" si="2">+D32</f>
        <v>50</v>
      </c>
      <c r="E42" s="256">
        <f t="shared" si="2"/>
        <v>60</v>
      </c>
      <c r="F42" s="256">
        <f t="shared" si="2"/>
        <v>45</v>
      </c>
      <c r="G42" s="257" t="e">
        <f>G32</f>
        <v>#REF!</v>
      </c>
      <c r="H42" s="263"/>
      <c r="I42" s="263"/>
      <c r="J42" s="264"/>
      <c r="K42" s="263"/>
    </row>
    <row r="43" spans="2:11" ht="33" customHeight="1">
      <c r="B43" s="258" t="s">
        <v>126</v>
      </c>
      <c r="C43" s="256">
        <f>+C33*105%</f>
        <v>304.5</v>
      </c>
      <c r="D43" s="256">
        <f t="shared" ref="D43:F43" si="3">+D33*105%</f>
        <v>273</v>
      </c>
      <c r="E43" s="256">
        <f t="shared" si="3"/>
        <v>315</v>
      </c>
      <c r="F43" s="256">
        <f t="shared" si="3"/>
        <v>157.5</v>
      </c>
      <c r="G43" s="257">
        <f>F18</f>
        <v>500</v>
      </c>
      <c r="H43" s="56"/>
      <c r="I43" s="56"/>
      <c r="J43" s="56"/>
      <c r="K43" s="56"/>
    </row>
    <row r="44" spans="2:11" ht="33" customHeight="1">
      <c r="B44" s="258" t="s">
        <v>127</v>
      </c>
      <c r="C44" s="256">
        <f>+C34*105%</f>
        <v>210</v>
      </c>
      <c r="D44" s="256">
        <f t="shared" ref="D44:F44" si="4">+D34*105%</f>
        <v>210</v>
      </c>
      <c r="E44" s="256">
        <f t="shared" si="4"/>
        <v>210</v>
      </c>
      <c r="F44" s="256">
        <f t="shared" si="4"/>
        <v>210</v>
      </c>
      <c r="G44" s="257">
        <f>K47</f>
        <v>7.5829270351499991</v>
      </c>
      <c r="H44" s="56"/>
      <c r="I44" s="56" t="s">
        <v>128</v>
      </c>
      <c r="J44" s="56" t="s">
        <v>129</v>
      </c>
      <c r="K44" s="56"/>
    </row>
    <row r="45" spans="2:11" ht="26.25" customHeight="1" thickBot="1">
      <c r="B45" s="259" t="s">
        <v>130</v>
      </c>
      <c r="C45" s="260">
        <f>C41/C40</f>
        <v>1.0466666666666666</v>
      </c>
      <c r="D45" s="260">
        <f>D41/D40</f>
        <v>1.0152380952380953</v>
      </c>
      <c r="E45" s="260">
        <f>E41/E40</f>
        <v>0.85726846424384529</v>
      </c>
      <c r="F45" s="260">
        <f>F41/F40</f>
        <v>0.35139279325325834</v>
      </c>
      <c r="G45" s="261" t="e">
        <f>G41/G40</f>
        <v>#REF!</v>
      </c>
      <c r="H45" s="56" t="s">
        <v>131</v>
      </c>
      <c r="I45" s="398">
        <v>375</v>
      </c>
      <c r="J45" s="398">
        <v>6893</v>
      </c>
      <c r="K45" s="56"/>
    </row>
    <row r="46" spans="2:11">
      <c r="B46" s="56"/>
      <c r="C46" s="249"/>
      <c r="D46" s="249"/>
      <c r="E46" s="249"/>
      <c r="F46" s="249"/>
      <c r="G46" s="249"/>
      <c r="H46" s="56" t="s">
        <v>132</v>
      </c>
      <c r="I46" s="399">
        <v>4357.63</v>
      </c>
      <c r="J46" s="399">
        <v>64.739999999999995</v>
      </c>
      <c r="K46" s="56"/>
    </row>
    <row r="47" spans="2:11">
      <c r="B47" s="56"/>
      <c r="C47" s="249"/>
      <c r="D47" s="249"/>
      <c r="E47" s="249"/>
      <c r="F47" s="249"/>
      <c r="G47" s="249"/>
      <c r="H47" s="56" t="s">
        <v>133</v>
      </c>
      <c r="I47" s="249">
        <f>(I45*I46*3.645)/10^6</f>
        <v>5.9563355062499994</v>
      </c>
      <c r="J47" s="249">
        <f>(J45*J46*3.645)/10^6</f>
        <v>1.6265915288999997</v>
      </c>
      <c r="K47" s="265">
        <f>SUM(I47:J47)</f>
        <v>7.5829270351499991</v>
      </c>
    </row>
    <row r="48" spans="2:11">
      <c r="B48" s="56"/>
      <c r="C48" s="249"/>
      <c r="D48" s="249"/>
      <c r="E48" s="249"/>
      <c r="F48" s="249"/>
      <c r="G48" s="249"/>
      <c r="H48" s="56"/>
      <c r="I48" s="56"/>
      <c r="J48" s="56"/>
      <c r="K48" s="56"/>
    </row>
    <row r="49" spans="2:11">
      <c r="B49" s="56"/>
      <c r="C49" s="249"/>
      <c r="D49" s="249"/>
      <c r="E49" s="249"/>
      <c r="F49" s="249"/>
      <c r="G49" s="249"/>
      <c r="H49" s="56"/>
      <c r="I49" s="266"/>
      <c r="J49" s="56"/>
      <c r="K49" s="56"/>
    </row>
    <row r="50" spans="2:11">
      <c r="J50" s="56"/>
      <c r="K50" s="56"/>
    </row>
    <row r="51" spans="2:11">
      <c r="J51" s="56"/>
      <c r="K51" s="56"/>
    </row>
  </sheetData>
  <mergeCells count="5">
    <mergeCell ref="B21:G21"/>
    <mergeCell ref="B26:G26"/>
    <mergeCell ref="B28:G28"/>
    <mergeCell ref="B36:G37"/>
    <mergeCell ref="B38:G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6A51-103C-495B-A2F8-EF01339E90F8}">
  <sheetPr codeName="Sheet7"/>
  <dimension ref="B3:S73"/>
  <sheetViews>
    <sheetView topLeftCell="A49" workbookViewId="0">
      <selection activeCell="C62" sqref="C62"/>
    </sheetView>
  </sheetViews>
  <sheetFormatPr defaultRowHeight="14.4"/>
  <cols>
    <col min="2" max="2" width="33" bestFit="1" customWidth="1"/>
    <col min="3" max="3" width="13.109375" customWidth="1"/>
    <col min="4" max="5" width="11.5546875" customWidth="1"/>
    <col min="7" max="7" width="10.33203125" customWidth="1"/>
    <col min="10" max="10" width="11.109375" customWidth="1"/>
    <col min="13" max="13" width="10" customWidth="1"/>
  </cols>
  <sheetData>
    <row r="3" spans="2:15" ht="16.2" thickBot="1">
      <c r="B3" s="211" t="s">
        <v>56</v>
      </c>
      <c r="C3" s="212"/>
      <c r="D3" s="212"/>
      <c r="E3" s="212"/>
      <c r="F3" s="212"/>
      <c r="G3" s="779" t="s">
        <v>57</v>
      </c>
      <c r="H3" s="779"/>
      <c r="I3" s="779"/>
      <c r="J3" s="779"/>
      <c r="K3" s="779"/>
      <c r="L3" s="779"/>
    </row>
    <row r="4" spans="2:15" ht="15.6">
      <c r="B4" s="780" t="s">
        <v>58</v>
      </c>
      <c r="C4" s="781"/>
      <c r="D4" s="781"/>
      <c r="E4" s="781"/>
      <c r="F4" s="781"/>
      <c r="G4" s="781"/>
      <c r="H4" s="781"/>
      <c r="I4" s="781"/>
      <c r="J4" s="781"/>
      <c r="K4" s="781"/>
      <c r="L4" s="781"/>
      <c r="M4" s="781"/>
      <c r="N4" s="781"/>
      <c r="O4" s="782"/>
    </row>
    <row r="5" spans="2:15" ht="15.6">
      <c r="B5" s="783" t="s">
        <v>59</v>
      </c>
      <c r="C5" s="785" t="s">
        <v>60</v>
      </c>
      <c r="D5" s="787">
        <v>46235</v>
      </c>
      <c r="E5" s="788"/>
      <c r="F5" s="789"/>
      <c r="G5" s="790">
        <v>46266</v>
      </c>
      <c r="H5" s="788"/>
      <c r="I5" s="789"/>
      <c r="J5" s="787">
        <v>46296</v>
      </c>
      <c r="K5" s="788"/>
      <c r="L5" s="789"/>
      <c r="M5" s="787">
        <v>46327</v>
      </c>
      <c r="N5" s="788"/>
      <c r="O5" s="789"/>
    </row>
    <row r="6" spans="2:15" ht="31.2">
      <c r="B6" s="784"/>
      <c r="C6" s="786"/>
      <c r="D6" s="213" t="s">
        <v>61</v>
      </c>
      <c r="E6" s="213" t="s">
        <v>62</v>
      </c>
      <c r="F6" s="213" t="s">
        <v>63</v>
      </c>
      <c r="G6" s="213" t="s">
        <v>61</v>
      </c>
      <c r="H6" s="213" t="s">
        <v>62</v>
      </c>
      <c r="I6" s="213" t="s">
        <v>63</v>
      </c>
      <c r="J6" s="213" t="s">
        <v>61</v>
      </c>
      <c r="K6" s="213" t="s">
        <v>62</v>
      </c>
      <c r="L6" s="213" t="s">
        <v>63</v>
      </c>
      <c r="M6" s="213" t="s">
        <v>61</v>
      </c>
      <c r="N6" s="213" t="s">
        <v>62</v>
      </c>
      <c r="O6" s="214" t="s">
        <v>63</v>
      </c>
    </row>
    <row r="7" spans="2:15" ht="15.6">
      <c r="B7" s="215" t="s">
        <v>64</v>
      </c>
      <c r="C7" s="216">
        <f>+'3. Working capital'!E25</f>
        <v>10</v>
      </c>
      <c r="D7" s="419">
        <v>-10</v>
      </c>
      <c r="E7" s="419"/>
      <c r="F7" s="217">
        <f>C7+E7+D7</f>
        <v>0</v>
      </c>
      <c r="G7" s="420">
        <v>-10</v>
      </c>
      <c r="H7" s="419"/>
      <c r="I7" s="216">
        <f>F7+G7+H7</f>
        <v>-10</v>
      </c>
      <c r="J7" s="420">
        <v>0</v>
      </c>
      <c r="K7" s="420">
        <v>0</v>
      </c>
      <c r="L7" s="216">
        <f>I7+J7+K7</f>
        <v>-10</v>
      </c>
      <c r="M7" s="420">
        <v>0</v>
      </c>
      <c r="N7" s="420">
        <v>0</v>
      </c>
      <c r="O7" s="219">
        <f>L7+M7+N7</f>
        <v>-10</v>
      </c>
    </row>
    <row r="8" spans="2:15" ht="15.6">
      <c r="B8" s="220" t="s">
        <v>65</v>
      </c>
      <c r="C8" s="216">
        <f>+'4. Loan'!F12</f>
        <v>70</v>
      </c>
      <c r="D8" s="419">
        <v>-20</v>
      </c>
      <c r="E8" s="419">
        <v>0</v>
      </c>
      <c r="F8" s="217">
        <f>C8+E8+D8</f>
        <v>50</v>
      </c>
      <c r="G8" s="420">
        <v>-20</v>
      </c>
      <c r="H8" s="420"/>
      <c r="I8" s="216">
        <f>F8+G8+H8</f>
        <v>30</v>
      </c>
      <c r="J8" s="419">
        <v>-45</v>
      </c>
      <c r="K8" s="420">
        <v>44</v>
      </c>
      <c r="L8" s="216">
        <f>I8+J8+K8</f>
        <v>29</v>
      </c>
      <c r="M8" s="419">
        <v>-54</v>
      </c>
      <c r="N8" s="420">
        <v>25</v>
      </c>
      <c r="O8" s="219">
        <f>L8+M8+N8</f>
        <v>0</v>
      </c>
    </row>
    <row r="9" spans="2:15" ht="15.6">
      <c r="B9" s="220" t="s">
        <v>66</v>
      </c>
      <c r="C9" s="216">
        <f>+'4. Loan'!F13</f>
        <v>25</v>
      </c>
      <c r="D9" s="419">
        <v>-25</v>
      </c>
      <c r="E9" s="419">
        <v>28</v>
      </c>
      <c r="F9" s="217">
        <f>C9+E9+D9</f>
        <v>28</v>
      </c>
      <c r="G9" s="420">
        <v>-28</v>
      </c>
      <c r="H9" s="420"/>
      <c r="I9" s="216">
        <f>F9+G9+H9</f>
        <v>0</v>
      </c>
      <c r="J9" s="420">
        <v>0</v>
      </c>
      <c r="K9" s="420">
        <v>0</v>
      </c>
      <c r="L9" s="216">
        <f>I9+J9+K9</f>
        <v>0</v>
      </c>
      <c r="M9" s="420">
        <v>0</v>
      </c>
      <c r="N9" s="420">
        <v>0</v>
      </c>
      <c r="O9" s="219">
        <f>L9+M9+N9</f>
        <v>0</v>
      </c>
    </row>
    <row r="10" spans="2:15" ht="15.6">
      <c r="B10" s="220" t="s">
        <v>67</v>
      </c>
      <c r="C10" s="216">
        <f>+'4. Loan'!F15</f>
        <v>10</v>
      </c>
      <c r="D10" s="419">
        <v>0</v>
      </c>
      <c r="E10" s="419"/>
      <c r="F10" s="217">
        <f>C10+E10+D10</f>
        <v>10</v>
      </c>
      <c r="G10" s="420">
        <v>-10</v>
      </c>
      <c r="H10" s="420"/>
      <c r="I10" s="216">
        <f>F10+G10+H10</f>
        <v>0</v>
      </c>
      <c r="J10" s="420">
        <v>0</v>
      </c>
      <c r="K10" s="420"/>
      <c r="L10" s="216">
        <f>I10+J10+K10</f>
        <v>0</v>
      </c>
      <c r="M10" s="420">
        <v>0</v>
      </c>
      <c r="N10" s="420">
        <v>0</v>
      </c>
      <c r="O10" s="219">
        <f>L10+M10+N10</f>
        <v>0</v>
      </c>
    </row>
    <row r="11" spans="2:15" ht="15.6">
      <c r="B11" s="220" t="s">
        <v>68</v>
      </c>
      <c r="C11" s="216">
        <v>0</v>
      </c>
      <c r="D11" s="216"/>
      <c r="E11" s="216">
        <v>0</v>
      </c>
      <c r="F11" s="217">
        <f>C11+E11+D11</f>
        <v>0</v>
      </c>
      <c r="G11" s="218">
        <v>0</v>
      </c>
      <c r="H11" s="218"/>
      <c r="I11" s="216">
        <f>F11+G11+H11</f>
        <v>0</v>
      </c>
      <c r="J11" s="218">
        <v>0</v>
      </c>
      <c r="K11" s="218"/>
      <c r="L11" s="216">
        <f>I11+J11+K11</f>
        <v>0</v>
      </c>
      <c r="M11" s="218">
        <v>0</v>
      </c>
      <c r="N11" s="218"/>
      <c r="O11" s="219">
        <f>L11+M11+N11</f>
        <v>0</v>
      </c>
    </row>
    <row r="12" spans="2:15" ht="15.6">
      <c r="B12" s="221" t="s">
        <v>69</v>
      </c>
      <c r="C12" s="222">
        <f>SUM(C7:C11)</f>
        <v>115</v>
      </c>
      <c r="D12" s="222">
        <f t="shared" ref="D12:O12" si="0">SUM(D7:D11)</f>
        <v>-55</v>
      </c>
      <c r="E12" s="222">
        <f t="shared" si="0"/>
        <v>28</v>
      </c>
      <c r="F12" s="222">
        <f t="shared" si="0"/>
        <v>88</v>
      </c>
      <c r="G12" s="222">
        <f>SUM(G7:G11)</f>
        <v>-68</v>
      </c>
      <c r="H12" s="222">
        <f t="shared" si="0"/>
        <v>0</v>
      </c>
      <c r="I12" s="222">
        <f t="shared" si="0"/>
        <v>20</v>
      </c>
      <c r="J12" s="222">
        <f t="shared" si="0"/>
        <v>-45</v>
      </c>
      <c r="K12" s="222">
        <f t="shared" si="0"/>
        <v>44</v>
      </c>
      <c r="L12" s="222">
        <f t="shared" si="0"/>
        <v>19</v>
      </c>
      <c r="M12" s="223">
        <f t="shared" si="0"/>
        <v>-54</v>
      </c>
      <c r="N12" s="223">
        <f t="shared" si="0"/>
        <v>25</v>
      </c>
      <c r="O12" s="224">
        <f t="shared" si="0"/>
        <v>-10</v>
      </c>
    </row>
    <row r="13" spans="2:15" ht="15.6">
      <c r="B13" s="770" t="s">
        <v>70</v>
      </c>
      <c r="C13" s="771"/>
      <c r="D13" s="771"/>
      <c r="E13" s="771"/>
      <c r="F13" s="771"/>
      <c r="G13" s="771"/>
      <c r="H13" s="771"/>
      <c r="I13" s="771"/>
      <c r="J13" s="771"/>
      <c r="K13" s="771"/>
      <c r="L13" s="772"/>
      <c r="O13" s="225"/>
    </row>
    <row r="14" spans="2:15" ht="15.6">
      <c r="B14" s="215" t="s">
        <v>71</v>
      </c>
      <c r="C14" s="217">
        <f>+'4. Loan'!K21</f>
        <v>42</v>
      </c>
      <c r="D14" s="216">
        <v>0</v>
      </c>
      <c r="E14" s="216">
        <v>0</v>
      </c>
      <c r="F14" s="216">
        <f>C14+D14+E14</f>
        <v>42</v>
      </c>
      <c r="G14" s="216">
        <v>-4.9922582999999996</v>
      </c>
      <c r="H14" s="216">
        <v>0</v>
      </c>
      <c r="I14" s="216">
        <f t="shared" ref="I14:I20" si="1">F14+G14+H14</f>
        <v>37.007741699999997</v>
      </c>
      <c r="J14" s="216">
        <v>0</v>
      </c>
      <c r="K14" s="216">
        <v>0</v>
      </c>
      <c r="L14" s="216">
        <f t="shared" ref="L14:L20" si="2">I14+J14+K14</f>
        <v>37.007741699999997</v>
      </c>
      <c r="M14" s="216">
        <v>0</v>
      </c>
      <c r="N14" s="216">
        <v>0</v>
      </c>
      <c r="O14" s="219">
        <f t="shared" ref="O14:O20" si="3">L14+M14+N14</f>
        <v>37.007741699999997</v>
      </c>
    </row>
    <row r="15" spans="2:15" ht="15.6">
      <c r="B15" s="215" t="s">
        <v>72</v>
      </c>
      <c r="C15" s="217">
        <f>+'4. Loan'!K24</f>
        <v>175</v>
      </c>
      <c r="D15" s="419">
        <v>0</v>
      </c>
      <c r="E15" s="419">
        <v>0</v>
      </c>
      <c r="F15" s="216">
        <f>C15+D15+E15</f>
        <v>175</v>
      </c>
      <c r="G15" s="419">
        <v>0</v>
      </c>
      <c r="H15" s="419">
        <v>0</v>
      </c>
      <c r="I15" s="216">
        <f t="shared" si="1"/>
        <v>175</v>
      </c>
      <c r="J15" s="419">
        <v>-6.1757999999999997</v>
      </c>
      <c r="K15" s="419">
        <v>0</v>
      </c>
      <c r="L15" s="216">
        <f t="shared" si="2"/>
        <v>168.82419999999999</v>
      </c>
      <c r="M15" s="419">
        <v>0</v>
      </c>
      <c r="N15" s="419">
        <v>0</v>
      </c>
      <c r="O15" s="219">
        <f t="shared" si="3"/>
        <v>168.82419999999999</v>
      </c>
    </row>
    <row r="16" spans="2:15" ht="15.6">
      <c r="B16" s="220" t="s">
        <v>66</v>
      </c>
      <c r="C16" s="216">
        <f>+'4. Loan'!K22</f>
        <v>60</v>
      </c>
      <c r="D16" s="419">
        <v>0</v>
      </c>
      <c r="E16" s="419">
        <v>0</v>
      </c>
      <c r="F16" s="217">
        <f>C16+E16+D16</f>
        <v>60</v>
      </c>
      <c r="G16" s="420">
        <v>0</v>
      </c>
      <c r="H16" s="420">
        <v>0</v>
      </c>
      <c r="I16" s="216">
        <f t="shared" si="1"/>
        <v>60</v>
      </c>
      <c r="J16" s="420">
        <v>0</v>
      </c>
      <c r="K16" s="420">
        <v>0</v>
      </c>
      <c r="L16" s="216">
        <f t="shared" si="2"/>
        <v>60</v>
      </c>
      <c r="M16" s="420">
        <v>0</v>
      </c>
      <c r="N16" s="420">
        <v>0</v>
      </c>
      <c r="O16" s="219">
        <f t="shared" si="3"/>
        <v>60</v>
      </c>
    </row>
    <row r="17" spans="2:18" ht="15.6">
      <c r="B17" s="220" t="s">
        <v>73</v>
      </c>
      <c r="C17" s="216">
        <f>+'4. Loan'!K23</f>
        <v>117</v>
      </c>
      <c r="D17" s="419">
        <v>-2.1686746987951806</v>
      </c>
      <c r="E17" s="419">
        <v>0</v>
      </c>
      <c r="F17" s="217">
        <f>C17+E17+D17</f>
        <v>114.83132530120481</v>
      </c>
      <c r="G17" s="419">
        <v>-2.1686746987951806</v>
      </c>
      <c r="H17" s="419">
        <v>0</v>
      </c>
      <c r="I17" s="216">
        <f t="shared" si="1"/>
        <v>112.66265060240963</v>
      </c>
      <c r="J17" s="419">
        <v>-2.1686746987951806</v>
      </c>
      <c r="K17" s="419">
        <v>0</v>
      </c>
      <c r="L17" s="216">
        <f t="shared" si="2"/>
        <v>110.49397590361444</v>
      </c>
      <c r="M17" s="419">
        <v>-2.1686746987951806</v>
      </c>
      <c r="N17" s="419">
        <v>0</v>
      </c>
      <c r="O17" s="219">
        <f t="shared" si="3"/>
        <v>108.32530120481925</v>
      </c>
    </row>
    <row r="18" spans="2:18" ht="15.6">
      <c r="B18" s="220" t="s">
        <v>74</v>
      </c>
      <c r="C18" s="216">
        <v>0</v>
      </c>
      <c r="D18" s="419">
        <v>0</v>
      </c>
      <c r="E18" s="419"/>
      <c r="F18" s="217">
        <f>C18+E18+D18</f>
        <v>0</v>
      </c>
      <c r="G18" s="419">
        <v>0</v>
      </c>
      <c r="H18" s="419"/>
      <c r="I18" s="216">
        <f t="shared" si="1"/>
        <v>0</v>
      </c>
      <c r="J18" s="419">
        <v>0</v>
      </c>
      <c r="K18" s="419">
        <v>0</v>
      </c>
      <c r="L18" s="216">
        <f t="shared" si="2"/>
        <v>0</v>
      </c>
      <c r="M18" s="420">
        <v>0</v>
      </c>
      <c r="N18" s="420">
        <v>0</v>
      </c>
      <c r="O18" s="219">
        <f t="shared" si="3"/>
        <v>0</v>
      </c>
    </row>
    <row r="19" spans="2:18" ht="15.6">
      <c r="B19" s="220" t="s">
        <v>75</v>
      </c>
      <c r="C19" s="216">
        <f>+'4. Loan'!K25</f>
        <v>100</v>
      </c>
      <c r="D19" s="419">
        <v>0</v>
      </c>
      <c r="E19" s="419">
        <v>0</v>
      </c>
      <c r="F19" s="217">
        <f>C19+E19+D19</f>
        <v>100</v>
      </c>
      <c r="G19" s="419">
        <v>0</v>
      </c>
      <c r="H19" s="419">
        <v>0</v>
      </c>
      <c r="I19" s="216">
        <f t="shared" si="1"/>
        <v>100</v>
      </c>
      <c r="J19" s="419">
        <v>0</v>
      </c>
      <c r="K19" s="419">
        <v>0</v>
      </c>
      <c r="L19" s="216">
        <f t="shared" si="2"/>
        <v>100</v>
      </c>
      <c r="M19" s="419">
        <v>0</v>
      </c>
      <c r="N19" s="419">
        <v>0</v>
      </c>
      <c r="O19" s="219">
        <f t="shared" si="3"/>
        <v>100</v>
      </c>
    </row>
    <row r="20" spans="2:18" ht="15.6">
      <c r="B20" s="220" t="s">
        <v>76</v>
      </c>
      <c r="C20" s="216">
        <v>0</v>
      </c>
      <c r="D20" s="419">
        <v>0</v>
      </c>
      <c r="E20" s="419">
        <f>+'4. Loan'!D28</f>
        <v>100</v>
      </c>
      <c r="F20" s="217">
        <f>C20+E20+D20</f>
        <v>100</v>
      </c>
      <c r="G20" s="419">
        <v>0</v>
      </c>
      <c r="H20" s="419">
        <v>0</v>
      </c>
      <c r="I20" s="216">
        <f t="shared" si="1"/>
        <v>100</v>
      </c>
      <c r="J20" s="419">
        <v>0</v>
      </c>
      <c r="K20" s="419">
        <v>0</v>
      </c>
      <c r="L20" s="216">
        <f t="shared" si="2"/>
        <v>100</v>
      </c>
      <c r="M20" s="419">
        <v>0</v>
      </c>
      <c r="N20" s="419">
        <v>0</v>
      </c>
      <c r="O20" s="219">
        <f t="shared" si="3"/>
        <v>100</v>
      </c>
    </row>
    <row r="21" spans="2:18" ht="15.6">
      <c r="B21" s="221" t="s">
        <v>77</v>
      </c>
      <c r="C21" s="222">
        <f t="shared" ref="C21:O21" si="4">SUM(C14:C20)</f>
        <v>494</v>
      </c>
      <c r="D21" s="222">
        <f t="shared" si="4"/>
        <v>-2.1686746987951806</v>
      </c>
      <c r="E21" s="222">
        <f t="shared" si="4"/>
        <v>100</v>
      </c>
      <c r="F21" s="222">
        <f t="shared" si="4"/>
        <v>591.83132530120474</v>
      </c>
      <c r="G21" s="222">
        <f t="shared" si="4"/>
        <v>-7.1609329987951806</v>
      </c>
      <c r="H21" s="222">
        <f t="shared" si="4"/>
        <v>0</v>
      </c>
      <c r="I21" s="222">
        <f t="shared" si="4"/>
        <v>584.6703923024096</v>
      </c>
      <c r="J21" s="222">
        <f t="shared" si="4"/>
        <v>-8.3444746987951799</v>
      </c>
      <c r="K21" s="222">
        <f t="shared" si="4"/>
        <v>0</v>
      </c>
      <c r="L21" s="222">
        <f t="shared" si="4"/>
        <v>576.32591760361447</v>
      </c>
      <c r="M21" s="222">
        <f t="shared" si="4"/>
        <v>-2.1686746987951806</v>
      </c>
      <c r="N21" s="222">
        <f t="shared" si="4"/>
        <v>0</v>
      </c>
      <c r="O21" s="224">
        <f t="shared" si="4"/>
        <v>574.15724290481921</v>
      </c>
    </row>
    <row r="22" spans="2:18" ht="15.6">
      <c r="B22" s="226" t="s">
        <v>78</v>
      </c>
      <c r="C22" s="227">
        <f t="shared" ref="C22:O22" si="5">C21+C12</f>
        <v>609</v>
      </c>
      <c r="D22" s="227">
        <f t="shared" si="5"/>
        <v>-57.168674698795179</v>
      </c>
      <c r="E22" s="227">
        <f t="shared" si="5"/>
        <v>128</v>
      </c>
      <c r="F22" s="227">
        <f t="shared" si="5"/>
        <v>679.83132530120474</v>
      </c>
      <c r="G22" s="227">
        <f t="shared" si="5"/>
        <v>-75.160932998795175</v>
      </c>
      <c r="H22" s="227">
        <f t="shared" si="5"/>
        <v>0</v>
      </c>
      <c r="I22" s="227">
        <f t="shared" si="5"/>
        <v>604.6703923024096</v>
      </c>
      <c r="J22" s="227">
        <f t="shared" si="5"/>
        <v>-53.344474698795182</v>
      </c>
      <c r="K22" s="227">
        <f t="shared" si="5"/>
        <v>44</v>
      </c>
      <c r="L22" s="227">
        <f t="shared" si="5"/>
        <v>595.32591760361447</v>
      </c>
      <c r="M22" s="227">
        <f t="shared" si="5"/>
        <v>-56.168674698795179</v>
      </c>
      <c r="N22" s="227">
        <f t="shared" si="5"/>
        <v>25</v>
      </c>
      <c r="O22" s="228">
        <f t="shared" si="5"/>
        <v>564.15724290481921</v>
      </c>
    </row>
    <row r="23" spans="2:18" ht="15.6">
      <c r="B23" s="231" t="s">
        <v>79</v>
      </c>
      <c r="C23" s="216">
        <v>0</v>
      </c>
      <c r="D23" s="216">
        <v>0</v>
      </c>
      <c r="E23" s="216">
        <v>0</v>
      </c>
      <c r="F23" s="217">
        <f>C23+E23+D23</f>
        <v>0</v>
      </c>
      <c r="G23" s="216"/>
      <c r="H23" s="216"/>
      <c r="I23" s="217"/>
      <c r="J23" s="218"/>
      <c r="K23" s="218"/>
      <c r="L23" s="216">
        <f>I23+J23+K23</f>
        <v>0</v>
      </c>
      <c r="M23" s="218"/>
      <c r="N23" s="218"/>
      <c r="O23" s="219">
        <f>L23+M23+N23</f>
        <v>0</v>
      </c>
    </row>
    <row r="24" spans="2:18" ht="15.6">
      <c r="B24" s="229" t="s">
        <v>80</v>
      </c>
      <c r="C24" s="216">
        <v>-10</v>
      </c>
      <c r="D24" s="419">
        <v>0</v>
      </c>
      <c r="E24" s="419">
        <v>0</v>
      </c>
      <c r="F24" s="216">
        <f>C24+E24+D24</f>
        <v>-10</v>
      </c>
      <c r="G24" s="419">
        <v>0</v>
      </c>
      <c r="H24" s="419">
        <f>SUM(H23:H23)</f>
        <v>0</v>
      </c>
      <c r="I24" s="216">
        <f>F24+H24+G24</f>
        <v>-10</v>
      </c>
      <c r="J24" s="419">
        <f>SUM(J23:J23)</f>
        <v>0</v>
      </c>
      <c r="K24" s="419">
        <f>SUM(K23:K23)</f>
        <v>0</v>
      </c>
      <c r="L24" s="216">
        <f>I24+K24+J24</f>
        <v>-10</v>
      </c>
      <c r="M24" s="419">
        <f>SUM(M23:M23)</f>
        <v>0</v>
      </c>
      <c r="N24" s="419">
        <f>SUM(N23:N23)</f>
        <v>0</v>
      </c>
      <c r="O24" s="230">
        <f>L24+N24+M24</f>
        <v>-10</v>
      </c>
    </row>
    <row r="25" spans="2:18" ht="15.6">
      <c r="B25" s="221" t="s">
        <v>81</v>
      </c>
      <c r="C25" s="232">
        <f t="shared" ref="C25:O25" si="6">SUM(C23:C24)</f>
        <v>-10</v>
      </c>
      <c r="D25" s="232">
        <f t="shared" si="6"/>
        <v>0</v>
      </c>
      <c r="E25" s="232">
        <f t="shared" si="6"/>
        <v>0</v>
      </c>
      <c r="F25" s="232">
        <f t="shared" si="6"/>
        <v>-10</v>
      </c>
      <c r="G25" s="232">
        <f t="shared" si="6"/>
        <v>0</v>
      </c>
      <c r="H25" s="232">
        <f t="shared" si="6"/>
        <v>0</v>
      </c>
      <c r="I25" s="232">
        <f t="shared" si="6"/>
        <v>-10</v>
      </c>
      <c r="J25" s="232">
        <f t="shared" si="6"/>
        <v>0</v>
      </c>
      <c r="K25" s="232">
        <f t="shared" si="6"/>
        <v>0</v>
      </c>
      <c r="L25" s="232">
        <f t="shared" si="6"/>
        <v>-10</v>
      </c>
      <c r="M25" s="232">
        <f t="shared" si="6"/>
        <v>0</v>
      </c>
      <c r="N25" s="232">
        <f t="shared" si="6"/>
        <v>0</v>
      </c>
      <c r="O25" s="233">
        <f t="shared" si="6"/>
        <v>-10</v>
      </c>
    </row>
    <row r="26" spans="2:18" ht="16.2" thickBot="1">
      <c r="B26" s="234" t="s">
        <v>82</v>
      </c>
      <c r="C26" s="235">
        <f t="shared" ref="C26:O26" si="7">C21+C12+C25</f>
        <v>599</v>
      </c>
      <c r="D26" s="235">
        <f t="shared" si="7"/>
        <v>-57.168674698795179</v>
      </c>
      <c r="E26" s="235">
        <f t="shared" si="7"/>
        <v>128</v>
      </c>
      <c r="F26" s="235">
        <f t="shared" si="7"/>
        <v>669.83132530120474</v>
      </c>
      <c r="G26" s="235">
        <f t="shared" si="7"/>
        <v>-75.160932998795175</v>
      </c>
      <c r="H26" s="235">
        <f t="shared" si="7"/>
        <v>0</v>
      </c>
      <c r="I26" s="235">
        <f t="shared" si="7"/>
        <v>594.6703923024096</v>
      </c>
      <c r="J26" s="235">
        <f t="shared" si="7"/>
        <v>-53.344474698795182</v>
      </c>
      <c r="K26" s="235">
        <f t="shared" si="7"/>
        <v>44</v>
      </c>
      <c r="L26" s="235">
        <f t="shared" si="7"/>
        <v>585.32591760361447</v>
      </c>
      <c r="M26" s="235">
        <f t="shared" si="7"/>
        <v>-56.168674698795179</v>
      </c>
      <c r="N26" s="235">
        <f t="shared" si="7"/>
        <v>25</v>
      </c>
      <c r="O26" s="236">
        <f t="shared" si="7"/>
        <v>554.15724290481921</v>
      </c>
    </row>
    <row r="28" spans="2:18">
      <c r="B28" s="421" t="s">
        <v>299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</row>
    <row r="29" spans="2:18">
      <c r="B29" s="747" t="s">
        <v>83</v>
      </c>
      <c r="C29" s="747"/>
      <c r="D29" s="747"/>
      <c r="E29" s="747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</row>
    <row r="30" spans="2:18">
      <c r="B30" s="237" t="s">
        <v>84</v>
      </c>
      <c r="C30" s="237" t="s">
        <v>85</v>
      </c>
      <c r="D30" s="237" t="s">
        <v>86</v>
      </c>
      <c r="E30" s="237" t="s">
        <v>87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</row>
    <row r="31" spans="2:18">
      <c r="B31" s="238" t="s">
        <v>88</v>
      </c>
      <c r="C31" s="239">
        <f>+C7</f>
        <v>10</v>
      </c>
      <c r="D31" s="239">
        <f>+C17+C19</f>
        <v>217</v>
      </c>
      <c r="E31" s="239">
        <f>SUM(C31:D31)</f>
        <v>227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</row>
    <row r="32" spans="2:18">
      <c r="B32" s="238" t="s">
        <v>65</v>
      </c>
      <c r="C32" s="239">
        <f>+C8</f>
        <v>70</v>
      </c>
      <c r="D32" s="239">
        <f>+C15+C14</f>
        <v>217</v>
      </c>
      <c r="E32" s="239">
        <f>SUM(C32:D32)</f>
        <v>287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</row>
    <row r="33" spans="2:18">
      <c r="B33" s="238" t="s">
        <v>66</v>
      </c>
      <c r="C33" s="239">
        <f>+C9</f>
        <v>25</v>
      </c>
      <c r="D33" s="239">
        <f>+C16</f>
        <v>60</v>
      </c>
      <c r="E33" s="239">
        <f>SUM(C33:D33)</f>
        <v>85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</row>
    <row r="34" spans="2:18">
      <c r="B34" s="238" t="s">
        <v>89</v>
      </c>
      <c r="C34" s="239">
        <f>+C10</f>
        <v>10</v>
      </c>
      <c r="D34" s="239">
        <v>0</v>
      </c>
      <c r="E34" s="239">
        <f>SUM(C34:D34)</f>
        <v>10</v>
      </c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</row>
    <row r="35" spans="2:18">
      <c r="B35" s="240" t="s">
        <v>87</v>
      </c>
      <c r="C35" s="241">
        <f>SUM(C31:C34)</f>
        <v>115</v>
      </c>
      <c r="D35" s="241">
        <f>SUM(D31:D34)</f>
        <v>494</v>
      </c>
      <c r="E35" s="241">
        <f>SUM(E31:E34)</f>
        <v>609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</row>
    <row r="36" spans="2:18"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</row>
    <row r="37" spans="2:18"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</row>
    <row r="38" spans="2:18"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</row>
    <row r="42" spans="2:18">
      <c r="B42" s="773" t="s">
        <v>90</v>
      </c>
      <c r="C42" s="773"/>
      <c r="D42" s="773"/>
      <c r="E42" s="773"/>
    </row>
    <row r="43" spans="2:18">
      <c r="B43" s="769" t="s">
        <v>91</v>
      </c>
      <c r="C43" s="769" t="s">
        <v>92</v>
      </c>
      <c r="D43" s="769" t="s">
        <v>93</v>
      </c>
      <c r="E43" s="769"/>
    </row>
    <row r="44" spans="2:18" ht="24">
      <c r="B44" s="769"/>
      <c r="C44" s="769"/>
      <c r="D44" s="377" t="s">
        <v>94</v>
      </c>
      <c r="E44" s="377" t="s">
        <v>95</v>
      </c>
    </row>
    <row r="45" spans="2:18">
      <c r="B45" s="13" t="s">
        <v>96</v>
      </c>
      <c r="C45" s="422">
        <v>20</v>
      </c>
      <c r="D45" s="422">
        <v>1.5</v>
      </c>
      <c r="E45" s="422">
        <f>+D45</f>
        <v>1.5</v>
      </c>
    </row>
    <row r="46" spans="2:18">
      <c r="B46" s="238" t="s">
        <v>97</v>
      </c>
      <c r="C46" s="423">
        <v>10</v>
      </c>
      <c r="D46" s="423">
        <v>2</v>
      </c>
      <c r="E46" s="422">
        <f t="shared" ref="E46:E49" si="8">+D46</f>
        <v>2</v>
      </c>
    </row>
    <row r="47" spans="2:18">
      <c r="B47" s="238" t="s">
        <v>98</v>
      </c>
      <c r="C47" s="423">
        <v>10</v>
      </c>
      <c r="D47" s="423">
        <f>+D46+0.5</f>
        <v>2.5</v>
      </c>
      <c r="E47" s="422">
        <f t="shared" si="8"/>
        <v>2.5</v>
      </c>
    </row>
    <row r="48" spans="2:18">
      <c r="B48" s="238" t="s">
        <v>99</v>
      </c>
      <c r="C48" s="423">
        <v>0</v>
      </c>
      <c r="D48" s="423">
        <f t="shared" ref="D48:D49" si="9">+D47+0.5</f>
        <v>3</v>
      </c>
      <c r="E48" s="422">
        <f t="shared" si="8"/>
        <v>3</v>
      </c>
    </row>
    <row r="49" spans="2:19">
      <c r="B49" s="238" t="s">
        <v>100</v>
      </c>
      <c r="C49" s="423">
        <v>0</v>
      </c>
      <c r="D49" s="423">
        <f t="shared" si="9"/>
        <v>3.5</v>
      </c>
      <c r="E49" s="422">
        <f t="shared" si="8"/>
        <v>3.5</v>
      </c>
    </row>
    <row r="50" spans="2:19">
      <c r="B50" s="240" t="s">
        <v>101</v>
      </c>
      <c r="C50" s="242">
        <f>SUM(C45:C49)</f>
        <v>40</v>
      </c>
      <c r="D50" s="242">
        <f>SUM(D45:D49)</f>
        <v>12.5</v>
      </c>
      <c r="E50" s="242">
        <f>SUM(E45:E49)</f>
        <v>12.5</v>
      </c>
    </row>
    <row r="51" spans="2:19" ht="47.25" customHeight="1">
      <c r="B51" s="774" t="s">
        <v>288</v>
      </c>
      <c r="C51" s="743"/>
      <c r="D51" s="743"/>
      <c r="E51" s="775"/>
    </row>
    <row r="52" spans="2:19" ht="47.25" customHeight="1">
      <c r="B52" s="776"/>
      <c r="C52" s="777"/>
      <c r="D52" s="777"/>
      <c r="E52" s="778"/>
    </row>
    <row r="54" spans="2:19"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2:19">
      <c r="B55" s="773" t="s">
        <v>102</v>
      </c>
      <c r="C55" s="773"/>
      <c r="D55" s="773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2:19">
      <c r="B56" s="769" t="s">
        <v>91</v>
      </c>
      <c r="C56" s="769" t="s">
        <v>103</v>
      </c>
      <c r="D56" s="769" t="s">
        <v>104</v>
      </c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</row>
    <row r="57" spans="2:19">
      <c r="B57" s="769"/>
      <c r="C57" s="769"/>
      <c r="D57" s="769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</row>
    <row r="58" spans="2:19">
      <c r="B58" s="13" t="s">
        <v>96</v>
      </c>
      <c r="C58" s="14">
        <f>+C45</f>
        <v>20</v>
      </c>
      <c r="D58" s="14">
        <v>0</v>
      </c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</row>
    <row r="59" spans="2:19">
      <c r="B59" s="238" t="s">
        <v>97</v>
      </c>
      <c r="C59" s="14">
        <f>+C46</f>
        <v>10</v>
      </c>
      <c r="D59" s="14">
        <v>0</v>
      </c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</row>
    <row r="60" spans="2:19">
      <c r="B60" s="238" t="s">
        <v>98</v>
      </c>
      <c r="C60" s="14">
        <f>+C47</f>
        <v>10</v>
      </c>
      <c r="D60" s="14">
        <v>0</v>
      </c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</row>
    <row r="61" spans="2:19">
      <c r="B61" s="240" t="s">
        <v>101</v>
      </c>
      <c r="C61" s="241">
        <f>SUM(C58:C60)</f>
        <v>40</v>
      </c>
      <c r="D61" s="241">
        <f>SUM(D58:D60)</f>
        <v>0</v>
      </c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</row>
    <row r="62" spans="2:19"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</row>
    <row r="63" spans="2:19">
      <c r="B63" s="244" t="s">
        <v>102</v>
      </c>
      <c r="C63" s="245"/>
      <c r="D63" s="24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</row>
    <row r="64" spans="2:19">
      <c r="B64" s="769" t="s">
        <v>91</v>
      </c>
      <c r="C64" s="769" t="s">
        <v>105</v>
      </c>
      <c r="D64" s="769" t="s">
        <v>103</v>
      </c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</row>
    <row r="65" spans="2:19">
      <c r="B65" s="769"/>
      <c r="C65" s="769"/>
      <c r="D65" s="769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</row>
    <row r="66" spans="2:19">
      <c r="B66" s="13" t="s">
        <v>96</v>
      </c>
      <c r="C66" s="247">
        <f>+D45</f>
        <v>1.5</v>
      </c>
      <c r="D66" s="14">
        <v>0</v>
      </c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</row>
    <row r="67" spans="2:19">
      <c r="B67" s="238" t="s">
        <v>97</v>
      </c>
      <c r="C67" s="247">
        <f t="shared" ref="C67:C70" si="10">+D46</f>
        <v>2</v>
      </c>
      <c r="D67" s="243">
        <v>0</v>
      </c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</row>
    <row r="68" spans="2:19">
      <c r="B68" s="238" t="s">
        <v>98</v>
      </c>
      <c r="C68" s="247">
        <f t="shared" si="10"/>
        <v>2.5</v>
      </c>
      <c r="D68" s="243">
        <v>0</v>
      </c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</row>
    <row r="69" spans="2:19">
      <c r="B69" s="238" t="s">
        <v>99</v>
      </c>
      <c r="C69" s="247">
        <f t="shared" si="10"/>
        <v>3</v>
      </c>
      <c r="D69" s="243">
        <v>0</v>
      </c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</row>
    <row r="70" spans="2:19">
      <c r="B70" s="238" t="s">
        <v>100</v>
      </c>
      <c r="C70" s="247">
        <f t="shared" si="10"/>
        <v>3.5</v>
      </c>
      <c r="D70" s="243">
        <v>0</v>
      </c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</row>
    <row r="71" spans="2:19">
      <c r="B71" s="240" t="s">
        <v>101</v>
      </c>
      <c r="C71" s="248">
        <f>SUM(C66:C70)</f>
        <v>12.5</v>
      </c>
      <c r="D71" s="248">
        <f>SUM(D66:D70)</f>
        <v>0</v>
      </c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</row>
    <row r="72" spans="2:19"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</row>
    <row r="73" spans="2:19"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</row>
  </sheetData>
  <mergeCells count="22">
    <mergeCell ref="G3:L3"/>
    <mergeCell ref="B4:O4"/>
    <mergeCell ref="B5:B6"/>
    <mergeCell ref="C5:C6"/>
    <mergeCell ref="D5:F5"/>
    <mergeCell ref="G5:I5"/>
    <mergeCell ref="J5:L5"/>
    <mergeCell ref="M5:O5"/>
    <mergeCell ref="B64:B65"/>
    <mergeCell ref="C64:C65"/>
    <mergeCell ref="D64:D65"/>
    <mergeCell ref="B13:L13"/>
    <mergeCell ref="B29:E29"/>
    <mergeCell ref="B42:E42"/>
    <mergeCell ref="B43:B44"/>
    <mergeCell ref="C43:C44"/>
    <mergeCell ref="D43:E43"/>
    <mergeCell ref="B51:E52"/>
    <mergeCell ref="B55:D55"/>
    <mergeCell ref="B56:B57"/>
    <mergeCell ref="C56:C57"/>
    <mergeCell ref="D56:D57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1BBE-FC09-46EC-A390-F1D1EE305998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277E-8C90-41C1-B545-4BDBD5A0E77A}">
  <dimension ref="A1:K7"/>
  <sheetViews>
    <sheetView zoomScale="85" zoomScaleNormal="85" workbookViewId="0">
      <selection activeCell="G14" sqref="G14"/>
    </sheetView>
  </sheetViews>
  <sheetFormatPr defaultRowHeight="14.4"/>
  <cols>
    <col min="1" max="1" width="19" bestFit="1" customWidth="1"/>
    <col min="2" max="2" width="14.5546875" bestFit="1" customWidth="1"/>
    <col min="3" max="3" width="44.88671875" customWidth="1"/>
    <col min="4" max="4" width="22.6640625" bestFit="1" customWidth="1"/>
    <col min="5" max="5" width="15.5546875" bestFit="1" customWidth="1"/>
    <col min="6" max="6" width="14.109375" bestFit="1" customWidth="1"/>
    <col min="7" max="7" width="16" bestFit="1" customWidth="1"/>
    <col min="8" max="8" width="24.33203125" bestFit="1" customWidth="1"/>
    <col min="9" max="9" width="9.5546875" style="29" bestFit="1" customWidth="1"/>
    <col min="10" max="10" width="16" bestFit="1" customWidth="1"/>
    <col min="11" max="11" width="9.5546875" style="29" bestFit="1" customWidth="1"/>
  </cols>
  <sheetData>
    <row r="1" spans="1:11" ht="15" thickBot="1"/>
    <row r="2" spans="1:11" ht="15" thickBot="1">
      <c r="A2" s="449" t="s">
        <v>301</v>
      </c>
      <c r="B2" s="450">
        <f>+K7</f>
        <v>6400</v>
      </c>
    </row>
    <row r="5" spans="1:11">
      <c r="K5" s="29" t="s">
        <v>302</v>
      </c>
    </row>
    <row r="6" spans="1:11">
      <c r="A6" s="451" t="s">
        <v>303</v>
      </c>
      <c r="B6" s="451" t="s">
        <v>304</v>
      </c>
      <c r="C6" s="451" t="s">
        <v>305</v>
      </c>
      <c r="D6" s="451" t="s">
        <v>306</v>
      </c>
      <c r="E6" s="451" t="s">
        <v>307</v>
      </c>
      <c r="F6" s="451" t="s">
        <v>308</v>
      </c>
      <c r="G6" s="451" t="s">
        <v>309</v>
      </c>
      <c r="H6" s="451" t="s">
        <v>310</v>
      </c>
      <c r="I6" s="452" t="s">
        <v>3</v>
      </c>
      <c r="J6" s="451" t="s">
        <v>311</v>
      </c>
      <c r="K6" s="29">
        <v>5150</v>
      </c>
    </row>
    <row r="7" spans="1:11">
      <c r="A7" s="453">
        <v>46177</v>
      </c>
      <c r="B7" s="453">
        <v>46177</v>
      </c>
      <c r="C7" s="238"/>
      <c r="D7" s="238" t="s">
        <v>312</v>
      </c>
      <c r="E7" s="238" t="s">
        <v>313</v>
      </c>
      <c r="F7" s="238" t="s">
        <v>314</v>
      </c>
      <c r="G7" s="238" t="s">
        <v>315</v>
      </c>
      <c r="H7" s="238" t="s">
        <v>316</v>
      </c>
      <c r="I7" s="314">
        <v>1250</v>
      </c>
      <c r="J7" s="238" t="s">
        <v>317</v>
      </c>
      <c r="K7" s="29">
        <f>+K6+I7</f>
        <v>6400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F505-46BE-4579-B0BA-EDFDABB22A54}">
  <dimension ref="A1:H13"/>
  <sheetViews>
    <sheetView zoomScale="85" zoomScaleNormal="85" workbookViewId="0">
      <selection activeCell="G14" sqref="G14"/>
    </sheetView>
  </sheetViews>
  <sheetFormatPr defaultRowHeight="14.4"/>
  <cols>
    <col min="1" max="1" width="19" bestFit="1" customWidth="1"/>
    <col min="2" max="2" width="14.5546875" bestFit="1" customWidth="1"/>
    <col min="3" max="3" width="59.5546875" customWidth="1"/>
    <col min="4" max="4" width="16" bestFit="1" customWidth="1"/>
    <col min="5" max="5" width="24.33203125" bestFit="1" customWidth="1"/>
    <col min="6" max="6" width="14.33203125" style="29" bestFit="1" customWidth="1"/>
    <col min="7" max="7" width="16" bestFit="1" customWidth="1"/>
    <col min="8" max="8" width="14" style="29" bestFit="1" customWidth="1"/>
  </cols>
  <sheetData>
    <row r="1" spans="1:8" ht="15" thickBot="1"/>
    <row r="2" spans="1:8" ht="15" thickBot="1">
      <c r="A2" s="449" t="s">
        <v>301</v>
      </c>
      <c r="B2" s="450">
        <f>+H7</f>
        <v>4060</v>
      </c>
    </row>
    <row r="5" spans="1:8">
      <c r="H5" s="29" t="s">
        <v>302</v>
      </c>
    </row>
    <row r="6" spans="1:8">
      <c r="A6" s="454" t="s">
        <v>303</v>
      </c>
      <c r="B6" s="454" t="s">
        <v>304</v>
      </c>
      <c r="C6" s="454" t="s">
        <v>305</v>
      </c>
      <c r="D6" s="454" t="s">
        <v>309</v>
      </c>
      <c r="E6" s="454" t="s">
        <v>310</v>
      </c>
      <c r="F6" s="455" t="s">
        <v>3</v>
      </c>
      <c r="G6" s="454" t="s">
        <v>311</v>
      </c>
      <c r="H6" s="29">
        <v>1560</v>
      </c>
    </row>
    <row r="7" spans="1:8">
      <c r="A7" s="453">
        <v>46204</v>
      </c>
      <c r="B7" s="453">
        <v>46205</v>
      </c>
      <c r="C7" s="238"/>
      <c r="D7" s="238" t="s">
        <v>315</v>
      </c>
      <c r="E7" s="238" t="s">
        <v>318</v>
      </c>
      <c r="F7" s="314">
        <v>2500</v>
      </c>
      <c r="G7" s="238" t="s">
        <v>196</v>
      </c>
      <c r="H7" s="29">
        <f>+H6+F7</f>
        <v>4060</v>
      </c>
    </row>
    <row r="10" spans="1:8">
      <c r="E10" s="29">
        <f>6000000/3.65</f>
        <v>1643835.6164383562</v>
      </c>
    </row>
    <row r="13" spans="1:8">
      <c r="D13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F04F-CA68-4F49-8615-1F4AEDAF5ED3}">
  <dimension ref="A1:H13"/>
  <sheetViews>
    <sheetView workbookViewId="0">
      <selection activeCell="G14" sqref="G14"/>
    </sheetView>
  </sheetViews>
  <sheetFormatPr defaultColWidth="10" defaultRowHeight="14.4"/>
  <cols>
    <col min="1" max="1" width="21.5546875" style="456" customWidth="1"/>
    <col min="2" max="6" width="10" style="456"/>
    <col min="7" max="7" width="10" style="457"/>
    <col min="8" max="16384" width="10" style="456"/>
  </cols>
  <sheetData>
    <row r="1" spans="1:8" ht="15" thickBot="1"/>
    <row r="2" spans="1:8" ht="15" thickBot="1">
      <c r="A2" s="449" t="s">
        <v>301</v>
      </c>
      <c r="B2" s="450">
        <f>+G12</f>
        <v>2800</v>
      </c>
    </row>
    <row r="6" spans="1:8">
      <c r="A6" s="34" t="s">
        <v>319</v>
      </c>
      <c r="B6" s="34"/>
      <c r="C6" s="34"/>
      <c r="D6" s="34"/>
      <c r="E6" s="34"/>
      <c r="F6" s="34"/>
      <c r="G6" s="458"/>
      <c r="H6" s="34"/>
    </row>
    <row r="7" spans="1:8">
      <c r="A7" s="459" t="s">
        <v>320</v>
      </c>
      <c r="B7" s="459"/>
      <c r="C7" s="459"/>
      <c r="D7" s="459"/>
      <c r="E7" s="459"/>
      <c r="F7" s="459"/>
      <c r="G7" s="460"/>
      <c r="H7" s="459"/>
    </row>
    <row r="8" spans="1:8" ht="103.8">
      <c r="A8" s="461" t="s">
        <v>321</v>
      </c>
      <c r="B8" s="459"/>
      <c r="C8" s="459"/>
      <c r="D8" s="459"/>
      <c r="E8" s="459"/>
      <c r="F8" s="459"/>
      <c r="G8" s="460"/>
      <c r="H8" s="459"/>
    </row>
    <row r="9" spans="1:8">
      <c r="A9" s="462" t="s">
        <v>322</v>
      </c>
      <c r="B9" s="462"/>
      <c r="C9" s="462"/>
      <c r="D9" s="462"/>
      <c r="E9" s="462"/>
      <c r="F9" s="462"/>
      <c r="G9" s="463"/>
      <c r="H9" s="462"/>
    </row>
    <row r="10" spans="1:8" ht="22.2">
      <c r="A10" s="459" t="s">
        <v>323</v>
      </c>
      <c r="B10" s="459"/>
      <c r="C10" s="459"/>
      <c r="D10" s="459"/>
      <c r="E10" s="459"/>
      <c r="F10" s="459"/>
      <c r="G10" s="460"/>
      <c r="H10" s="459"/>
    </row>
    <row r="11" spans="1:8">
      <c r="A11" s="464"/>
      <c r="B11" s="465" t="s">
        <v>324</v>
      </c>
      <c r="C11" s="466" t="s">
        <v>325</v>
      </c>
      <c r="D11" s="467" t="s">
        <v>326</v>
      </c>
      <c r="E11" s="467" t="s">
        <v>327</v>
      </c>
      <c r="F11" s="466" t="s">
        <v>328</v>
      </c>
      <c r="G11" s="468" t="s">
        <v>329</v>
      </c>
      <c r="H11" s="464"/>
    </row>
    <row r="12" spans="1:8">
      <c r="A12" s="464"/>
      <c r="B12" s="469"/>
      <c r="C12" s="470" t="s">
        <v>330</v>
      </c>
      <c r="D12" s="469"/>
      <c r="E12" s="469"/>
      <c r="F12" s="469"/>
      <c r="G12" s="471">
        <f>+G13</f>
        <v>2800</v>
      </c>
      <c r="H12" s="464"/>
    </row>
    <row r="13" spans="1:8">
      <c r="A13" s="472"/>
      <c r="B13" s="473">
        <v>46163</v>
      </c>
      <c r="C13" s="474"/>
      <c r="D13" s="475"/>
      <c r="E13" s="476">
        <v>1000</v>
      </c>
      <c r="F13" s="473">
        <v>46177</v>
      </c>
      <c r="G13" s="477">
        <v>2800</v>
      </c>
      <c r="H13" s="472"/>
    </row>
  </sheetData>
  <hyperlinks>
    <hyperlink ref="A6" r:id="rId1" display="http://www.ubs.com/" xr:uid="{811FF92F-3BFA-4CD2-9C3D-F7C627594539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A5E7-2D12-475D-AF2E-CE904A2191A8}">
  <dimension ref="A1:H13"/>
  <sheetViews>
    <sheetView workbookViewId="0">
      <selection activeCell="G14" sqref="G14"/>
    </sheetView>
  </sheetViews>
  <sheetFormatPr defaultColWidth="9.109375" defaultRowHeight="14.4"/>
  <cols>
    <col min="1" max="1" width="23.33203125" style="456" customWidth="1"/>
    <col min="2" max="2" width="29" style="456" bestFit="1" customWidth="1"/>
    <col min="3" max="3" width="13" style="456" bestFit="1" customWidth="1"/>
    <col min="4" max="5" width="11.44140625" style="456" bestFit="1" customWidth="1"/>
    <col min="6" max="6" width="9.88671875" style="456" bestFit="1" customWidth="1"/>
    <col min="7" max="7" width="13.5546875" style="457" bestFit="1" customWidth="1"/>
    <col min="8" max="8" width="2.33203125" style="456" customWidth="1"/>
    <col min="9" max="16384" width="9.109375" style="456"/>
  </cols>
  <sheetData>
    <row r="1" spans="1:8" ht="15" thickBot="1"/>
    <row r="2" spans="1:8" ht="15" thickBot="1">
      <c r="A2" s="449" t="s">
        <v>301</v>
      </c>
      <c r="B2" s="450">
        <f>+G11</f>
        <v>5470</v>
      </c>
    </row>
    <row r="6" spans="1:8">
      <c r="A6" s="459" t="s">
        <v>320</v>
      </c>
      <c r="B6" s="459"/>
      <c r="C6" s="459"/>
      <c r="D6" s="459"/>
      <c r="E6" s="459"/>
      <c r="F6" s="459"/>
      <c r="G6" s="460"/>
      <c r="H6" s="459"/>
    </row>
    <row r="7" spans="1:8" ht="103.8">
      <c r="A7" s="461" t="s">
        <v>331</v>
      </c>
      <c r="B7" s="459"/>
      <c r="C7" s="459"/>
      <c r="D7" s="459"/>
      <c r="E7" s="459"/>
      <c r="F7" s="459"/>
      <c r="G7" s="460"/>
      <c r="H7" s="459"/>
    </row>
    <row r="8" spans="1:8">
      <c r="A8" s="462" t="s">
        <v>332</v>
      </c>
      <c r="B8" s="462"/>
      <c r="C8" s="462"/>
      <c r="D8" s="462"/>
      <c r="E8" s="462"/>
      <c r="F8" s="462"/>
      <c r="G8" s="463"/>
      <c r="H8" s="462"/>
    </row>
    <row r="9" spans="1:8" ht="22.2">
      <c r="A9" s="459" t="s">
        <v>333</v>
      </c>
      <c r="B9" s="459"/>
      <c r="C9" s="459"/>
      <c r="D9" s="459"/>
      <c r="E9" s="459"/>
      <c r="F9" s="459"/>
      <c r="G9" s="460"/>
      <c r="H9" s="459"/>
    </row>
    <row r="10" spans="1:8">
      <c r="A10" s="465" t="s">
        <v>324</v>
      </c>
      <c r="B10" s="466" t="s">
        <v>325</v>
      </c>
      <c r="C10" s="478" t="s">
        <v>326</v>
      </c>
      <c r="D10" s="478"/>
      <c r="E10" s="467" t="s">
        <v>327</v>
      </c>
      <c r="F10" s="479" t="s">
        <v>328</v>
      </c>
      <c r="G10" s="468" t="s">
        <v>329</v>
      </c>
    </row>
    <row r="11" spans="1:8">
      <c r="A11" s="469"/>
      <c r="B11" s="470" t="s">
        <v>330</v>
      </c>
      <c r="C11" s="480"/>
      <c r="D11" s="480"/>
      <c r="E11" s="469"/>
      <c r="F11" s="469"/>
      <c r="G11" s="477">
        <f>+G12+C11</f>
        <v>5470</v>
      </c>
    </row>
    <row r="12" spans="1:8">
      <c r="A12" s="473">
        <v>46234</v>
      </c>
      <c r="B12" s="474"/>
      <c r="C12" s="481">
        <v>-30</v>
      </c>
      <c r="D12" s="481"/>
      <c r="E12" s="475"/>
      <c r="F12" s="482">
        <v>46234</v>
      </c>
      <c r="G12" s="477">
        <f>+G13+C12</f>
        <v>5470</v>
      </c>
    </row>
    <row r="13" spans="1:8">
      <c r="A13" s="473">
        <v>46233</v>
      </c>
      <c r="B13" s="474"/>
      <c r="C13" s="483">
        <v>-100</v>
      </c>
      <c r="D13" s="483"/>
      <c r="E13" s="484"/>
      <c r="F13" s="482">
        <v>46233</v>
      </c>
      <c r="G13" s="477">
        <v>5500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186C-3CE4-4C8A-BE71-D2149FD4B757}">
  <dimension ref="A1:G7"/>
  <sheetViews>
    <sheetView workbookViewId="0">
      <selection activeCell="F8" sqref="F8"/>
    </sheetView>
  </sheetViews>
  <sheetFormatPr defaultRowHeight="14.4"/>
  <cols>
    <col min="1" max="1" width="20.88671875" customWidth="1"/>
    <col min="2" max="2" width="13" customWidth="1"/>
    <col min="3" max="3" width="59.88671875" customWidth="1"/>
    <col min="4" max="5" width="13" customWidth="1"/>
    <col min="6" max="7" width="16.88671875" customWidth="1"/>
  </cols>
  <sheetData>
    <row r="1" spans="1:7" ht="15" thickBot="1"/>
    <row r="2" spans="1:7" ht="15" thickBot="1">
      <c r="A2" s="449" t="s">
        <v>301</v>
      </c>
      <c r="B2" s="485">
        <f>+G7</f>
        <v>2877749</v>
      </c>
    </row>
    <row r="6" spans="1:7">
      <c r="A6" s="486" t="s">
        <v>334</v>
      </c>
      <c r="B6" s="486" t="s">
        <v>335</v>
      </c>
      <c r="C6" s="486" t="s">
        <v>305</v>
      </c>
      <c r="D6" s="486" t="s">
        <v>336</v>
      </c>
      <c r="E6" s="486" t="s">
        <v>337</v>
      </c>
      <c r="F6" s="486" t="s">
        <v>338</v>
      </c>
      <c r="G6" s="486" t="s">
        <v>63</v>
      </c>
    </row>
    <row r="7" spans="1:7">
      <c r="A7" t="s">
        <v>339</v>
      </c>
      <c r="B7" s="487">
        <v>0</v>
      </c>
      <c r="D7" t="s">
        <v>339</v>
      </c>
      <c r="F7" s="488">
        <f>3314540-436000-791</f>
        <v>2877749</v>
      </c>
      <c r="G7" s="488">
        <f>+F7</f>
        <v>2877749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D680-E22B-43CF-B763-AFA5E3D8C2D8}">
  <dimension ref="A1:H21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20100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236</v>
      </c>
      <c r="C10" s="797"/>
      <c r="D10" s="491" t="s">
        <v>344</v>
      </c>
      <c r="E10" s="797" t="s">
        <v>345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352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791">
        <v>20100</v>
      </c>
      <c r="C16" s="792"/>
      <c r="D16" s="489"/>
      <c r="E16" s="489"/>
      <c r="F16" s="489"/>
      <c r="G16" s="490"/>
      <c r="H16" s="489"/>
    </row>
    <row r="17" spans="1:8" ht="15.6">
      <c r="A17" s="491" t="s">
        <v>355</v>
      </c>
      <c r="B17" s="791">
        <v>20100</v>
      </c>
      <c r="C17" s="792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358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366</v>
      </c>
      <c r="B21" s="497" t="s">
        <v>366</v>
      </c>
      <c r="C21" s="497"/>
      <c r="D21" s="497"/>
      <c r="E21" s="497">
        <v>2000</v>
      </c>
      <c r="F21" s="497" t="s">
        <v>367</v>
      </c>
      <c r="G21" s="498">
        <v>20100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D3F-4CF6-47EC-B0ED-8E75897C7237}">
  <dimension ref="A1:H22"/>
  <sheetViews>
    <sheetView topLeftCell="A6"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31880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368</v>
      </c>
      <c r="C10" s="797"/>
      <c r="D10" s="491" t="s">
        <v>344</v>
      </c>
      <c r="E10" s="797" t="s">
        <v>369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370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31880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1">
        <v>31880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372</v>
      </c>
      <c r="B21" s="497" t="s">
        <v>372</v>
      </c>
      <c r="C21" s="497"/>
      <c r="D21" s="497"/>
      <c r="E21" s="497">
        <v>175</v>
      </c>
      <c r="F21" s="497" t="s">
        <v>367</v>
      </c>
      <c r="G21" s="498">
        <f>+G22-E21</f>
        <v>31880</v>
      </c>
      <c r="H21" s="489"/>
    </row>
    <row r="22" spans="1:8">
      <c r="A22" s="497" t="s">
        <v>373</v>
      </c>
      <c r="B22" s="497" t="s">
        <v>373</v>
      </c>
      <c r="C22" s="497"/>
      <c r="D22" s="497"/>
      <c r="E22" s="497">
        <v>18500</v>
      </c>
      <c r="F22" s="497" t="s">
        <v>367</v>
      </c>
      <c r="G22" s="498">
        <v>32055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47EE-24AE-4F4E-90CB-C2662D944B12}">
  <dimension ref="A1:H21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21046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374</v>
      </c>
      <c r="C10" s="797"/>
      <c r="D10" s="491" t="s">
        <v>344</v>
      </c>
      <c r="E10" s="797" t="s">
        <v>375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196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376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21046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1">
        <v>21046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377</v>
      </c>
      <c r="B21" s="497" t="s">
        <v>377</v>
      </c>
      <c r="C21" s="497"/>
      <c r="D21" s="497"/>
      <c r="E21" s="497">
        <v>30</v>
      </c>
      <c r="F21" s="497" t="s">
        <v>367</v>
      </c>
      <c r="G21" s="498">
        <v>21046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913F-9789-47C1-81AA-7003B8090C64}">
  <dimension ref="A1:H21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65404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378</v>
      </c>
      <c r="C10" s="797"/>
      <c r="D10" s="491" t="s">
        <v>344</v>
      </c>
      <c r="E10" s="797" t="s">
        <v>375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245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379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65404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1">
        <v>65404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380</v>
      </c>
      <c r="B21" s="497" t="s">
        <v>380</v>
      </c>
      <c r="C21" s="497"/>
      <c r="D21" s="497"/>
      <c r="E21" s="497">
        <v>250</v>
      </c>
      <c r="F21" s="497" t="s">
        <v>367</v>
      </c>
      <c r="G21" s="498">
        <v>65404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3F55-1F45-4C9C-B4F4-CADFCE4DE9F8}">
  <dimension ref="A1:H21"/>
  <sheetViews>
    <sheetView workbookViewId="0">
      <selection activeCell="G14" sqref="G14"/>
    </sheetView>
  </sheetViews>
  <sheetFormatPr defaultRowHeight="14.4"/>
  <cols>
    <col min="1" max="1" width="19.44140625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60221.27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381</v>
      </c>
      <c r="C10" s="797"/>
      <c r="D10" s="491" t="s">
        <v>344</v>
      </c>
      <c r="E10" s="797" t="s">
        <v>375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382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801">
        <v>60221.27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802">
        <v>71221.27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 t="s">
        <v>367</v>
      </c>
      <c r="F21" s="497">
        <v>13709.27</v>
      </c>
      <c r="G21" s="498">
        <v>60221.27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EB26-728D-41E6-BE57-62E85A99BD1B}">
  <dimension ref="A1:H21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51254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384</v>
      </c>
      <c r="C10" s="797"/>
      <c r="D10" s="491" t="s">
        <v>344</v>
      </c>
      <c r="E10" s="797" t="s">
        <v>385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386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51254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1">
        <v>51254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360</v>
      </c>
      <c r="B21" s="497" t="s">
        <v>360</v>
      </c>
      <c r="C21" s="497"/>
      <c r="D21" s="497"/>
      <c r="E21" s="497">
        <v>4613.3599999999997</v>
      </c>
      <c r="F21" s="497" t="s">
        <v>367</v>
      </c>
      <c r="G21" s="498">
        <v>51254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5DE7-13B9-4C0C-8D8E-D0D505DAA595}">
  <dimension ref="A1:H21"/>
  <sheetViews>
    <sheetView workbookViewId="0">
      <selection activeCell="G14" sqref="G14"/>
    </sheetView>
  </sheetViews>
  <sheetFormatPr defaultRowHeight="14.4"/>
  <cols>
    <col min="1" max="1" width="19.44140625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26451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387</v>
      </c>
      <c r="C10" s="797"/>
      <c r="D10" s="491" t="s">
        <v>344</v>
      </c>
      <c r="E10" s="797" t="s">
        <v>388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389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797">
        <v>26451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797">
        <v>26451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 t="s">
        <v>367</v>
      </c>
      <c r="F21" s="497">
        <v>25412</v>
      </c>
      <c r="G21" s="498">
        <v>26451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9FC1-6057-4D0E-AE7F-EA6D55451313}">
  <dimension ref="A1:H21"/>
  <sheetViews>
    <sheetView topLeftCell="A8" workbookViewId="0">
      <selection activeCell="G14" sqref="G14"/>
    </sheetView>
  </sheetViews>
  <sheetFormatPr defaultRowHeight="14.4"/>
  <cols>
    <col min="1" max="1" width="19.44140625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14215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390</v>
      </c>
      <c r="C10" s="797"/>
      <c r="D10" s="491" t="s">
        <v>344</v>
      </c>
      <c r="E10" s="797" t="s">
        <v>391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196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392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801">
        <v>14215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801">
        <v>14215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>
        <v>150</v>
      </c>
      <c r="F21" s="497" t="s">
        <v>367</v>
      </c>
      <c r="G21" s="498">
        <v>14215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684D-8D80-4D13-87BF-A7F74A0AAD38}">
  <dimension ref="A1:H22"/>
  <sheetViews>
    <sheetView topLeftCell="A11" workbookViewId="0">
      <selection activeCell="G14" sqref="G14"/>
    </sheetView>
  </sheetViews>
  <sheetFormatPr defaultRowHeight="14.4"/>
  <cols>
    <col min="1" max="1" width="19.44140625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16388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393</v>
      </c>
      <c r="C10" s="797"/>
      <c r="D10" s="491" t="s">
        <v>344</v>
      </c>
      <c r="E10" s="797" t="s">
        <v>391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394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801">
        <v>16388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801">
        <v>66653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383</v>
      </c>
      <c r="B21" s="497" t="s">
        <v>383</v>
      </c>
      <c r="C21" s="497"/>
      <c r="D21" s="497"/>
      <c r="E21" s="497">
        <v>156</v>
      </c>
      <c r="F21" s="497" t="s">
        <v>367</v>
      </c>
      <c r="G21" s="498">
        <f>+G22-E21</f>
        <v>16388</v>
      </c>
      <c r="H21" s="489"/>
    </row>
    <row r="22" spans="1:8" ht="24.9" customHeight="1">
      <c r="A22" s="497" t="s">
        <v>383</v>
      </c>
      <c r="B22" s="497" t="s">
        <v>383</v>
      </c>
      <c r="C22" s="497"/>
      <c r="D22" s="497"/>
      <c r="E22" s="497">
        <v>16544</v>
      </c>
      <c r="F22" s="497" t="s">
        <v>367</v>
      </c>
      <c r="G22" s="498">
        <v>16544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099C-7C1A-4FFF-84C0-289F42C13D82}">
  <dimension ref="A1:H22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76205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395</v>
      </c>
      <c r="C10" s="797"/>
      <c r="D10" s="491" t="s">
        <v>344</v>
      </c>
      <c r="E10" s="797" t="s">
        <v>396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196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397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76205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1">
        <v>76205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398</v>
      </c>
      <c r="B21" s="497" t="s">
        <v>398</v>
      </c>
      <c r="C21" s="497"/>
      <c r="D21" s="497"/>
      <c r="E21" s="497">
        <v>30</v>
      </c>
      <c r="F21" s="497" t="s">
        <v>367</v>
      </c>
      <c r="G21" s="498">
        <f>+G22-E21</f>
        <v>76205</v>
      </c>
      <c r="H21" s="489"/>
    </row>
    <row r="22" spans="1:8">
      <c r="A22" s="497" t="s">
        <v>398</v>
      </c>
      <c r="B22" s="497" t="s">
        <v>398</v>
      </c>
      <c r="C22" s="497"/>
      <c r="D22" s="497"/>
      <c r="E22" s="497">
        <v>46841</v>
      </c>
      <c r="F22" s="497" t="s">
        <v>367</v>
      </c>
      <c r="G22" s="498">
        <v>76235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8F6A-8CF9-45C3-A06D-0D531A6885E5}">
  <dimension ref="A1:H21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11546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399</v>
      </c>
      <c r="C10" s="797"/>
      <c r="D10" s="491" t="s">
        <v>344</v>
      </c>
      <c r="E10" s="797" t="s">
        <v>396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246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400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11546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1">
        <v>11546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383</v>
      </c>
      <c r="B21" s="497" t="s">
        <v>383</v>
      </c>
      <c r="C21" s="497"/>
      <c r="D21" s="497"/>
      <c r="E21" s="497" t="s">
        <v>367</v>
      </c>
      <c r="F21" s="497">
        <v>7898</v>
      </c>
      <c r="G21" s="498">
        <v>11546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6A3C-1705-4130-BDDC-013924F58A4E}">
  <dimension ref="A1:H22"/>
  <sheetViews>
    <sheetView topLeftCell="A6"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54684.56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401</v>
      </c>
      <c r="C10" s="797"/>
      <c r="D10" s="491" t="s">
        <v>344</v>
      </c>
      <c r="E10" s="797" t="s">
        <v>396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196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402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2">
        <v>54684.56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2">
        <v>54684.56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383</v>
      </c>
      <c r="B21" s="497" t="s">
        <v>383</v>
      </c>
      <c r="C21" s="497"/>
      <c r="D21" s="497"/>
      <c r="E21" s="497">
        <v>95</v>
      </c>
      <c r="F21" s="497" t="s">
        <v>367</v>
      </c>
      <c r="G21" s="498">
        <f>+G22-E21</f>
        <v>54684.56</v>
      </c>
      <c r="H21" s="489"/>
    </row>
    <row r="22" spans="1:8">
      <c r="A22" s="497" t="s">
        <v>383</v>
      </c>
      <c r="B22" s="497" t="s">
        <v>383</v>
      </c>
      <c r="C22" s="497"/>
      <c r="D22" s="497"/>
      <c r="E22" s="497">
        <v>264672.84000000003</v>
      </c>
      <c r="F22" s="497" t="s">
        <v>367</v>
      </c>
      <c r="G22" s="498">
        <v>54779.56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0A42-4223-423B-8241-0ADAA1321F66}">
  <dimension ref="A1:H22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25182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403</v>
      </c>
      <c r="C10" s="797"/>
      <c r="D10" s="491" t="s">
        <v>344</v>
      </c>
      <c r="E10" s="797" t="s">
        <v>396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404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25182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2">
        <v>68587.56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360</v>
      </c>
      <c r="B21" s="497" t="s">
        <v>360</v>
      </c>
      <c r="C21" s="497"/>
      <c r="D21" s="497"/>
      <c r="E21" s="497" t="s">
        <v>367</v>
      </c>
      <c r="F21" s="497">
        <v>9542</v>
      </c>
      <c r="G21" s="498">
        <f>+G22+F21</f>
        <v>25182</v>
      </c>
      <c r="H21" s="489"/>
    </row>
    <row r="22" spans="1:8">
      <c r="A22" s="497" t="s">
        <v>360</v>
      </c>
      <c r="B22" s="497" t="s">
        <v>360</v>
      </c>
      <c r="C22" s="497"/>
      <c r="D22" s="497"/>
      <c r="E22" s="497">
        <v>5064</v>
      </c>
      <c r="F22" s="497" t="s">
        <v>367</v>
      </c>
      <c r="G22" s="498">
        <v>15640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A5B2-FF17-4036-BE30-EB7E8F9324A1}">
  <dimension ref="A1:H22"/>
  <sheetViews>
    <sheetView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8051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405</v>
      </c>
      <c r="C10" s="797"/>
      <c r="D10" s="491" t="s">
        <v>344</v>
      </c>
      <c r="E10" s="797" t="s">
        <v>396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406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8051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1">
        <v>96594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360</v>
      </c>
      <c r="B21" s="497" t="s">
        <v>360</v>
      </c>
      <c r="C21" s="497"/>
      <c r="D21" s="497"/>
      <c r="F21" s="499">
        <v>2625</v>
      </c>
      <c r="G21" s="498">
        <f>+G22+F21</f>
        <v>8051</v>
      </c>
      <c r="H21" s="489"/>
    </row>
    <row r="22" spans="1:8">
      <c r="A22" s="497" t="s">
        <v>360</v>
      </c>
      <c r="B22" s="497" t="s">
        <v>360</v>
      </c>
      <c r="C22" s="497"/>
      <c r="D22" s="497"/>
      <c r="E22" s="500">
        <v>2625</v>
      </c>
      <c r="F22" s="238"/>
      <c r="G22" s="501">
        <v>5426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D4A3-A8C0-4AF7-90D0-050BCE6C5A82}">
  <dimension ref="A1:H22"/>
  <sheetViews>
    <sheetView topLeftCell="A11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31866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407</v>
      </c>
      <c r="C10" s="797"/>
      <c r="D10" s="491" t="s">
        <v>344</v>
      </c>
      <c r="E10" s="797" t="s">
        <v>408</v>
      </c>
      <c r="F10" s="797"/>
      <c r="G10" s="797"/>
      <c r="H10" s="489"/>
    </row>
    <row r="11" spans="1:8" ht="18" customHeight="1">
      <c r="A11" s="491" t="s">
        <v>227</v>
      </c>
      <c r="B11" s="797" t="s">
        <v>409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410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801">
        <v>31866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801">
        <v>31866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>
        <v>32458</v>
      </c>
      <c r="F21" s="497" t="s">
        <v>367</v>
      </c>
      <c r="G21" s="498">
        <f>+G22-E21</f>
        <v>31866</v>
      </c>
      <c r="H21" s="489"/>
    </row>
    <row r="22" spans="1:8" ht="24.9" customHeight="1">
      <c r="A22" s="497" t="s">
        <v>360</v>
      </c>
      <c r="B22" s="497" t="s">
        <v>360</v>
      </c>
      <c r="C22" s="497"/>
      <c r="D22" s="497"/>
      <c r="E22" s="497">
        <v>9546</v>
      </c>
      <c r="F22" s="497" t="s">
        <v>367</v>
      </c>
      <c r="G22" s="498">
        <v>64324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8A6A-B9C9-4D0F-9C46-E8472DAD2D77}">
  <dimension ref="A1:H22"/>
  <sheetViews>
    <sheetView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261842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411</v>
      </c>
      <c r="C10" s="797"/>
      <c r="D10" s="491" t="s">
        <v>344</v>
      </c>
      <c r="E10" s="797" t="s">
        <v>408</v>
      </c>
      <c r="F10" s="797"/>
      <c r="G10" s="797"/>
      <c r="H10" s="489"/>
    </row>
    <row r="11" spans="1:8" ht="15.6">
      <c r="A11" s="491" t="s">
        <v>227</v>
      </c>
      <c r="B11" s="797" t="s">
        <v>409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412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261842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1">
        <v>261842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360</v>
      </c>
      <c r="B21" s="497" t="s">
        <v>360</v>
      </c>
      <c r="C21" s="497"/>
      <c r="D21" s="497"/>
      <c r="E21" s="497">
        <v>1610</v>
      </c>
      <c r="F21" s="497" t="s">
        <v>367</v>
      </c>
      <c r="G21" s="498">
        <f>+G22-E21</f>
        <v>261842</v>
      </c>
      <c r="H21" s="489"/>
    </row>
    <row r="22" spans="1:8">
      <c r="A22" s="497" t="s">
        <v>360</v>
      </c>
      <c r="B22" s="497" t="s">
        <v>360</v>
      </c>
      <c r="C22" s="497"/>
      <c r="D22" s="497"/>
      <c r="E22" s="497">
        <v>62458</v>
      </c>
      <c r="F22" s="497" t="s">
        <v>367</v>
      </c>
      <c r="G22" s="498">
        <v>263452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D4AB-5AEB-4412-835C-CAB2BC4C5B57}">
  <dimension ref="A1:H21"/>
  <sheetViews>
    <sheetView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56564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413</v>
      </c>
      <c r="C10" s="797"/>
      <c r="D10" s="491" t="s">
        <v>344</v>
      </c>
      <c r="E10" s="797" t="s">
        <v>408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246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414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56564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1">
        <v>56564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383</v>
      </c>
      <c r="B21" s="497" t="s">
        <v>383</v>
      </c>
      <c r="C21" s="497"/>
      <c r="D21" s="497"/>
      <c r="E21" s="497">
        <v>46554</v>
      </c>
      <c r="F21" s="497" t="s">
        <v>367</v>
      </c>
      <c r="G21" s="498">
        <v>56564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279E-6F21-4DAA-964C-9533D3CD9B97}">
  <dimension ref="A1:H22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7" width="17.33203125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65396</v>
      </c>
    </row>
    <row r="6" spans="1:8">
      <c r="A6" s="489"/>
      <c r="B6" s="489"/>
      <c r="C6" s="489"/>
      <c r="D6" s="489"/>
      <c r="E6" s="489"/>
      <c r="F6" s="489"/>
      <c r="G6" s="489"/>
      <c r="H6" s="489"/>
    </row>
    <row r="7" spans="1:8" ht="15.6">
      <c r="B7" s="489"/>
      <c r="C7" s="799" t="s">
        <v>340</v>
      </c>
      <c r="D7" s="799"/>
      <c r="E7" s="799"/>
      <c r="F7" s="489"/>
      <c r="G7" s="489"/>
      <c r="H7" s="489"/>
    </row>
    <row r="8" spans="1:8">
      <c r="B8" s="489"/>
      <c r="C8" s="800" t="s">
        <v>341</v>
      </c>
      <c r="D8" s="800"/>
      <c r="E8" s="800"/>
      <c r="F8" s="489"/>
      <c r="G8" s="489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89"/>
      <c r="H9" s="489"/>
    </row>
    <row r="10" spans="1:8" ht="30">
      <c r="A10" s="491" t="s">
        <v>343</v>
      </c>
      <c r="B10" s="797" t="s">
        <v>415</v>
      </c>
      <c r="C10" s="797"/>
      <c r="D10" s="491" t="s">
        <v>344</v>
      </c>
      <c r="E10" s="797" t="s">
        <v>408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196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89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416</v>
      </c>
      <c r="C14" s="798"/>
      <c r="D14" s="489"/>
      <c r="E14" s="489"/>
      <c r="F14" s="489"/>
      <c r="G14" s="489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89"/>
      <c r="H15" s="489"/>
    </row>
    <row r="16" spans="1:8" ht="15.6">
      <c r="A16" s="491" t="s">
        <v>354</v>
      </c>
      <c r="B16" s="801">
        <v>65396</v>
      </c>
      <c r="C16" s="797"/>
      <c r="D16" s="489"/>
      <c r="E16" s="489"/>
      <c r="F16" s="489"/>
      <c r="G16" s="489"/>
      <c r="H16" s="489"/>
    </row>
    <row r="17" spans="1:8" ht="15.6">
      <c r="A17" s="491" t="s">
        <v>355</v>
      </c>
      <c r="B17" s="801">
        <v>65396</v>
      </c>
      <c r="C17" s="797"/>
      <c r="D17" s="489"/>
      <c r="E17" s="489"/>
      <c r="F17" s="489"/>
      <c r="G17" s="489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89"/>
      <c r="H18" s="489"/>
    </row>
    <row r="19" spans="1:8" ht="15.6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5" t="s">
        <v>365</v>
      </c>
      <c r="H20" s="489"/>
    </row>
    <row r="21" spans="1:8">
      <c r="A21" s="497" t="s">
        <v>417</v>
      </c>
      <c r="B21" s="497" t="s">
        <v>417</v>
      </c>
      <c r="C21" s="497"/>
      <c r="D21" s="497"/>
      <c r="E21" s="497">
        <v>29</v>
      </c>
      <c r="F21" s="497" t="s">
        <v>367</v>
      </c>
      <c r="G21" s="498">
        <f>+G22-E21</f>
        <v>65396</v>
      </c>
      <c r="H21" s="489"/>
    </row>
    <row r="22" spans="1:8">
      <c r="A22" s="497" t="s">
        <v>417</v>
      </c>
      <c r="B22" s="497" t="s">
        <v>417</v>
      </c>
      <c r="C22" s="497"/>
      <c r="D22" s="497"/>
      <c r="E22" s="497">
        <v>4642</v>
      </c>
      <c r="F22" s="497" t="s">
        <v>367</v>
      </c>
      <c r="G22" s="498">
        <v>65425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C6ED-E4F1-4F48-822C-0EE659D57233}">
  <dimension ref="A1:H22"/>
  <sheetViews>
    <sheetView topLeftCell="A8" workbookViewId="0">
      <selection activeCell="G14" sqref="G14"/>
    </sheetView>
  </sheetViews>
  <sheetFormatPr defaultRowHeight="14.4"/>
  <cols>
    <col min="1" max="1" width="19.44140625" bestFit="1" customWidth="1"/>
    <col min="2" max="2" width="17.44140625" customWidth="1"/>
    <col min="3" max="7" width="17.33203125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58917</v>
      </c>
    </row>
    <row r="6" spans="1:8" ht="32.1" customHeight="1">
      <c r="A6" s="489"/>
      <c r="B6" s="489"/>
      <c r="C6" s="489"/>
      <c r="D6" s="489"/>
      <c r="E6" s="489"/>
      <c r="F6" s="489"/>
      <c r="G6" s="489"/>
      <c r="H6" s="489"/>
    </row>
    <row r="7" spans="1:8" ht="18" customHeight="1">
      <c r="B7" s="489"/>
      <c r="C7" s="799" t="s">
        <v>340</v>
      </c>
      <c r="D7" s="799"/>
      <c r="E7" s="799"/>
      <c r="F7" s="489"/>
      <c r="G7" s="489"/>
      <c r="H7" s="489"/>
    </row>
    <row r="8" spans="1:8" ht="18" customHeight="1">
      <c r="B8" s="489"/>
      <c r="C8" s="800" t="s">
        <v>341</v>
      </c>
      <c r="D8" s="800"/>
      <c r="E8" s="800"/>
      <c r="F8" s="489"/>
      <c r="G8" s="489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89"/>
      <c r="H9" s="489"/>
    </row>
    <row r="10" spans="1:8" ht="18" customHeight="1">
      <c r="A10" s="491" t="s">
        <v>343</v>
      </c>
      <c r="B10" s="797" t="s">
        <v>418</v>
      </c>
      <c r="C10" s="797"/>
      <c r="D10" s="491" t="s">
        <v>344</v>
      </c>
      <c r="E10" s="797" t="s">
        <v>408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89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419</v>
      </c>
      <c r="C14" s="798"/>
      <c r="D14" s="489"/>
      <c r="E14" s="489"/>
      <c r="F14" s="489"/>
      <c r="G14" s="489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89"/>
      <c r="H15" s="489"/>
    </row>
    <row r="16" spans="1:8" ht="18" customHeight="1">
      <c r="A16" s="491" t="s">
        <v>354</v>
      </c>
      <c r="B16" s="801">
        <v>58917</v>
      </c>
      <c r="C16" s="797"/>
      <c r="D16" s="489"/>
      <c r="E16" s="489"/>
      <c r="F16" s="489"/>
      <c r="G16" s="489"/>
      <c r="H16" s="489"/>
    </row>
    <row r="17" spans="1:8" ht="18" customHeight="1">
      <c r="A17" s="491" t="s">
        <v>355</v>
      </c>
      <c r="B17" s="801">
        <v>163564</v>
      </c>
      <c r="C17" s="797"/>
      <c r="D17" s="489"/>
      <c r="E17" s="489"/>
      <c r="F17" s="489"/>
      <c r="G17" s="489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89"/>
      <c r="H18" s="489"/>
    </row>
    <row r="19" spans="1:8" ht="18" customHeight="1">
      <c r="A19" s="489"/>
      <c r="B19" s="794" t="s">
        <v>357</v>
      </c>
      <c r="C19" s="794"/>
      <c r="D19" s="493" t="s">
        <v>420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5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>
        <v>545</v>
      </c>
      <c r="F21" s="497" t="s">
        <v>367</v>
      </c>
      <c r="G21" s="498">
        <f>+G22-E21</f>
        <v>58917</v>
      </c>
      <c r="H21" s="489"/>
    </row>
    <row r="22" spans="1:8" ht="24.9" customHeight="1">
      <c r="A22" s="497" t="s">
        <v>360</v>
      </c>
      <c r="B22" s="497" t="s">
        <v>360</v>
      </c>
      <c r="C22" s="497"/>
      <c r="D22" s="497"/>
      <c r="E22" s="497" t="s">
        <v>367</v>
      </c>
      <c r="F22" s="497">
        <v>9465</v>
      </c>
      <c r="G22" s="498">
        <v>59462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9A54-023C-41EA-AC38-CE823107A5A4}">
  <dimension ref="A1:K11"/>
  <sheetViews>
    <sheetView workbookViewId="0">
      <selection activeCell="G14" sqref="G14"/>
    </sheetView>
  </sheetViews>
  <sheetFormatPr defaultRowHeight="14.4"/>
  <cols>
    <col min="1" max="1" width="18.33203125" bestFit="1" customWidth="1"/>
    <col min="2" max="2" width="15.88671875" bestFit="1" customWidth="1"/>
    <col min="3" max="3" width="25.6640625" customWidth="1"/>
    <col min="4" max="4" width="33.33203125" bestFit="1" customWidth="1"/>
    <col min="5" max="5" width="17.44140625" bestFit="1" customWidth="1"/>
    <col min="6" max="6" width="16.44140625" bestFit="1" customWidth="1"/>
    <col min="7" max="7" width="14.44140625" bestFit="1" customWidth="1"/>
    <col min="8" max="8" width="16.88671875" bestFit="1" customWidth="1"/>
    <col min="9" max="9" width="13.33203125" style="29" bestFit="1" customWidth="1"/>
    <col min="10" max="10" width="9.44140625" bestFit="1" customWidth="1"/>
    <col min="11" max="11" width="10.44140625" bestFit="1" customWidth="1"/>
  </cols>
  <sheetData>
    <row r="1" spans="1:11" ht="15" thickBot="1"/>
    <row r="2" spans="1:11" ht="15" thickBot="1">
      <c r="A2" s="449" t="s">
        <v>301</v>
      </c>
      <c r="B2" s="450">
        <f>+H7</f>
        <v>408426</v>
      </c>
    </row>
    <row r="6" spans="1:11">
      <c r="A6" t="s">
        <v>227</v>
      </c>
      <c r="B6" t="s">
        <v>343</v>
      </c>
      <c r="C6" t="s">
        <v>421</v>
      </c>
      <c r="D6" t="s">
        <v>422</v>
      </c>
      <c r="E6" t="s">
        <v>423</v>
      </c>
      <c r="F6" t="s">
        <v>424</v>
      </c>
      <c r="G6" t="s">
        <v>365</v>
      </c>
      <c r="H6" t="s">
        <v>355</v>
      </c>
      <c r="I6" s="29" t="s">
        <v>347</v>
      </c>
      <c r="J6" t="s">
        <v>425</v>
      </c>
      <c r="K6" t="s">
        <v>426</v>
      </c>
    </row>
    <row r="7" spans="1:11">
      <c r="A7" t="s">
        <v>427</v>
      </c>
      <c r="B7">
        <v>3177700001</v>
      </c>
      <c r="C7" t="s">
        <v>312</v>
      </c>
      <c r="D7" t="s">
        <v>428</v>
      </c>
      <c r="E7" t="s">
        <v>429</v>
      </c>
      <c r="F7" t="s">
        <v>223</v>
      </c>
      <c r="G7" s="488">
        <v>408426</v>
      </c>
      <c r="H7" s="488">
        <f>+I10</f>
        <v>408426</v>
      </c>
      <c r="I7" s="29" t="s">
        <v>430</v>
      </c>
      <c r="J7" s="502">
        <v>46334</v>
      </c>
      <c r="K7" t="s">
        <v>431</v>
      </c>
    </row>
    <row r="9" spans="1:11">
      <c r="A9" t="s">
        <v>334</v>
      </c>
      <c r="B9" t="s">
        <v>336</v>
      </c>
      <c r="C9" t="s">
        <v>305</v>
      </c>
      <c r="D9" t="s">
        <v>432</v>
      </c>
      <c r="E9" t="s">
        <v>433</v>
      </c>
      <c r="F9" t="s">
        <v>434</v>
      </c>
      <c r="G9" t="s">
        <v>435</v>
      </c>
      <c r="H9" t="s">
        <v>436</v>
      </c>
      <c r="I9" s="29" t="s">
        <v>63</v>
      </c>
    </row>
    <row r="10" spans="1:11">
      <c r="A10" t="s">
        <v>437</v>
      </c>
      <c r="B10" t="s">
        <v>438</v>
      </c>
      <c r="D10" t="s">
        <v>439</v>
      </c>
      <c r="F10" t="s">
        <v>367</v>
      </c>
      <c r="G10" t="s">
        <v>367</v>
      </c>
      <c r="H10" s="488">
        <v>-150000</v>
      </c>
      <c r="I10" s="29">
        <f>+I11-H10</f>
        <v>408426</v>
      </c>
    </row>
    <row r="11" spans="1:11">
      <c r="A11" t="s">
        <v>440</v>
      </c>
      <c r="B11" t="s">
        <v>438</v>
      </c>
      <c r="D11" t="s">
        <v>439</v>
      </c>
      <c r="F11" t="s">
        <v>367</v>
      </c>
      <c r="G11" t="s">
        <v>367</v>
      </c>
      <c r="H11" s="488">
        <v>-134546</v>
      </c>
      <c r="I11" s="29">
        <v>258426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F2CB-426D-4C5E-A6EE-7A3ED26974BB}">
  <dimension ref="A1:K11"/>
  <sheetViews>
    <sheetView zoomScale="85" zoomScaleNormal="85" workbookViewId="0">
      <selection activeCell="G14" sqref="G14"/>
    </sheetView>
  </sheetViews>
  <sheetFormatPr defaultRowHeight="14.4"/>
  <cols>
    <col min="1" max="1" width="18.33203125" bestFit="1" customWidth="1"/>
    <col min="2" max="2" width="15.88671875" bestFit="1" customWidth="1"/>
    <col min="3" max="3" width="24" customWidth="1"/>
    <col min="4" max="4" width="33.109375" bestFit="1" customWidth="1"/>
    <col min="5" max="5" width="17.5546875" bestFit="1" customWidth="1"/>
    <col min="6" max="6" width="16.44140625" bestFit="1" customWidth="1"/>
    <col min="7" max="7" width="14.44140625" style="29" bestFit="1" customWidth="1"/>
    <col min="8" max="8" width="16.88671875" style="29" bestFit="1" customWidth="1"/>
    <col min="9" max="9" width="13.33203125" style="29" bestFit="1" customWidth="1"/>
    <col min="10" max="10" width="9.44140625" bestFit="1" customWidth="1"/>
    <col min="11" max="11" width="10.44140625" bestFit="1" customWidth="1"/>
  </cols>
  <sheetData>
    <row r="1" spans="1:11" ht="15" thickBot="1"/>
    <row r="2" spans="1:11" ht="15" thickBot="1">
      <c r="A2" s="449" t="s">
        <v>301</v>
      </c>
      <c r="B2" s="450">
        <f>+I10</f>
        <v>70800</v>
      </c>
    </row>
    <row r="6" spans="1:11">
      <c r="A6" t="s">
        <v>227</v>
      </c>
      <c r="B6" t="s">
        <v>343</v>
      </c>
      <c r="C6" t="s">
        <v>421</v>
      </c>
      <c r="D6" t="s">
        <v>422</v>
      </c>
      <c r="E6" t="s">
        <v>423</v>
      </c>
      <c r="F6" t="s">
        <v>424</v>
      </c>
      <c r="G6" s="29" t="s">
        <v>365</v>
      </c>
      <c r="H6" s="29" t="s">
        <v>355</v>
      </c>
      <c r="I6" s="29" t="s">
        <v>347</v>
      </c>
      <c r="J6" t="s">
        <v>425</v>
      </c>
      <c r="K6" t="s">
        <v>426</v>
      </c>
    </row>
    <row r="7" spans="1:11">
      <c r="A7" t="s">
        <v>427</v>
      </c>
      <c r="B7">
        <v>3177700004</v>
      </c>
      <c r="C7" t="s">
        <v>312</v>
      </c>
      <c r="D7" t="s">
        <v>441</v>
      </c>
      <c r="E7" t="s">
        <v>429</v>
      </c>
      <c r="F7" t="s">
        <v>196</v>
      </c>
      <c r="G7" s="29">
        <v>70800</v>
      </c>
      <c r="H7" s="29">
        <f>+I10</f>
        <v>70800</v>
      </c>
      <c r="I7" s="29" t="s">
        <v>430</v>
      </c>
      <c r="J7" s="502">
        <v>46029</v>
      </c>
      <c r="K7" t="s">
        <v>442</v>
      </c>
    </row>
    <row r="9" spans="1:11">
      <c r="A9" t="s">
        <v>334</v>
      </c>
      <c r="B9" t="s">
        <v>336</v>
      </c>
      <c r="C9" t="s">
        <v>305</v>
      </c>
      <c r="D9" t="s">
        <v>432</v>
      </c>
      <c r="E9" t="s">
        <v>433</v>
      </c>
      <c r="F9" t="s">
        <v>434</v>
      </c>
      <c r="G9" s="29" t="s">
        <v>435</v>
      </c>
      <c r="H9" s="29" t="s">
        <v>436</v>
      </c>
      <c r="I9" s="29" t="s">
        <v>63</v>
      </c>
    </row>
    <row r="10" spans="1:11">
      <c r="A10" t="s">
        <v>443</v>
      </c>
      <c r="B10" t="s">
        <v>444</v>
      </c>
      <c r="D10" t="s">
        <v>337</v>
      </c>
      <c r="H10" s="29">
        <v>-4654</v>
      </c>
      <c r="I10" s="29">
        <f>+I11+H10</f>
        <v>70800</v>
      </c>
    </row>
    <row r="11" spans="1:11">
      <c r="A11" t="s">
        <v>445</v>
      </c>
      <c r="B11" t="s">
        <v>446</v>
      </c>
      <c r="D11" t="s">
        <v>337</v>
      </c>
      <c r="H11" s="29">
        <v>-97898</v>
      </c>
      <c r="I11" s="29">
        <v>75454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39EF-A8F9-4F42-97C4-DCAB659389D1}">
  <dimension ref="A1:H8"/>
  <sheetViews>
    <sheetView zoomScale="85" zoomScaleNormal="85" workbookViewId="0">
      <selection activeCell="G14" sqref="G14"/>
    </sheetView>
  </sheetViews>
  <sheetFormatPr defaultColWidth="9.109375" defaultRowHeight="14.4"/>
  <cols>
    <col min="1" max="1" width="19" style="456" bestFit="1" customWidth="1"/>
    <col min="2" max="2" width="21" style="456" bestFit="1" customWidth="1"/>
    <col min="3" max="3" width="19.6640625" style="456" bestFit="1" customWidth="1"/>
    <col min="4" max="4" width="18.109375" style="456" bestFit="1" customWidth="1"/>
    <col min="5" max="5" width="18.5546875" style="456" bestFit="1" customWidth="1"/>
    <col min="6" max="6" width="12.88671875" style="457" bestFit="1" customWidth="1"/>
    <col min="7" max="7" width="13" style="457" bestFit="1" customWidth="1"/>
    <col min="8" max="8" width="12.88671875" style="457" bestFit="1" customWidth="1"/>
    <col min="9" max="16384" width="9.109375" style="456"/>
  </cols>
  <sheetData>
    <row r="1" spans="1:8" ht="15" thickBot="1"/>
    <row r="2" spans="1:8" ht="15" thickBot="1">
      <c r="A2" s="449" t="s">
        <v>301</v>
      </c>
      <c r="B2" s="450">
        <f>+H8</f>
        <v>638733</v>
      </c>
    </row>
    <row r="6" spans="1:8">
      <c r="A6" s="503" t="s">
        <v>447</v>
      </c>
      <c r="B6" s="504" t="s">
        <v>448</v>
      </c>
      <c r="C6" s="504" t="s">
        <v>449</v>
      </c>
      <c r="D6" s="503" t="s">
        <v>450</v>
      </c>
      <c r="E6" s="503" t="s">
        <v>451</v>
      </c>
      <c r="F6" s="505" t="s">
        <v>452</v>
      </c>
      <c r="G6" s="505" t="s">
        <v>453</v>
      </c>
      <c r="H6" s="506" t="s">
        <v>454</v>
      </c>
    </row>
    <row r="7" spans="1:8">
      <c r="A7" s="507">
        <v>46233</v>
      </c>
      <c r="B7" s="508" t="s">
        <v>455</v>
      </c>
      <c r="C7" s="508"/>
      <c r="D7" s="509"/>
      <c r="E7" s="510"/>
      <c r="F7" s="511">
        <v>65428</v>
      </c>
      <c r="G7" s="511">
        <v>0</v>
      </c>
      <c r="H7" s="512">
        <v>645218</v>
      </c>
    </row>
    <row r="8" spans="1:8">
      <c r="A8" s="507">
        <v>46233</v>
      </c>
      <c r="B8" s="508" t="s">
        <v>455</v>
      </c>
      <c r="C8" s="513"/>
      <c r="D8" s="509"/>
      <c r="E8" s="510"/>
      <c r="F8" s="511">
        <v>6485</v>
      </c>
      <c r="G8" s="514">
        <v>0</v>
      </c>
      <c r="H8" s="515">
        <f>+H7-F8</f>
        <v>638733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7362-FB3B-4CAD-9CAE-91875B3BF242}">
  <dimension ref="A1:H7"/>
  <sheetViews>
    <sheetView workbookViewId="0">
      <selection activeCell="G14" sqref="G14"/>
    </sheetView>
  </sheetViews>
  <sheetFormatPr defaultColWidth="9.109375" defaultRowHeight="14.4"/>
  <cols>
    <col min="1" max="1" width="19" style="456" bestFit="1" customWidth="1"/>
    <col min="2" max="2" width="21.88671875" style="456" customWidth="1"/>
    <col min="3" max="3" width="21.6640625" style="456" customWidth="1"/>
    <col min="4" max="4" width="14.44140625" style="456" customWidth="1"/>
    <col min="5" max="5" width="29" style="456" customWidth="1"/>
    <col min="6" max="8" width="14.44140625" style="456" customWidth="1"/>
    <col min="9" max="16384" width="9.109375" style="456"/>
  </cols>
  <sheetData>
    <row r="1" spans="1:8" ht="15" thickBot="1"/>
    <row r="2" spans="1:8" ht="15" thickBot="1">
      <c r="A2" s="449" t="s">
        <v>301</v>
      </c>
      <c r="B2" s="450">
        <f>+H7</f>
        <v>9845</v>
      </c>
    </row>
    <row r="6" spans="1:8" ht="20.399999999999999">
      <c r="A6" s="516" t="s">
        <v>447</v>
      </c>
      <c r="B6" s="517" t="s">
        <v>448</v>
      </c>
      <c r="C6" s="517" t="s">
        <v>449</v>
      </c>
      <c r="D6" s="516" t="s">
        <v>450</v>
      </c>
      <c r="E6" s="517" t="s">
        <v>451</v>
      </c>
      <c r="F6" s="517" t="s">
        <v>452</v>
      </c>
      <c r="G6" s="517" t="s">
        <v>453</v>
      </c>
      <c r="H6" s="517" t="s">
        <v>454</v>
      </c>
    </row>
    <row r="7" spans="1:8">
      <c r="A7" s="518">
        <v>46033</v>
      </c>
      <c r="B7" s="519"/>
      <c r="C7" s="519"/>
      <c r="D7" s="510"/>
      <c r="E7" s="519"/>
      <c r="F7" s="520">
        <v>650</v>
      </c>
      <c r="G7" s="520">
        <v>0</v>
      </c>
      <c r="H7" s="521">
        <v>9845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3179-1AC7-43EE-A756-D413C75D11A6}">
  <dimension ref="A1:H8"/>
  <sheetViews>
    <sheetView workbookViewId="0">
      <selection activeCell="G14" sqref="G14"/>
    </sheetView>
  </sheetViews>
  <sheetFormatPr defaultColWidth="9.109375" defaultRowHeight="14.4"/>
  <cols>
    <col min="1" max="1" width="19" style="456" bestFit="1" customWidth="1"/>
    <col min="2" max="2" width="20.44140625" style="456" bestFit="1" customWidth="1"/>
    <col min="3" max="3" width="19.5546875" style="456" bestFit="1" customWidth="1"/>
    <col min="4" max="4" width="18.109375" style="456" bestFit="1" customWidth="1"/>
    <col min="5" max="5" width="18.5546875" style="456" bestFit="1" customWidth="1"/>
    <col min="6" max="6" width="14.33203125" style="457" bestFit="1" customWidth="1"/>
    <col min="7" max="7" width="14.44140625" style="457" bestFit="1" customWidth="1"/>
    <col min="8" max="8" width="15.44140625" style="457" bestFit="1" customWidth="1"/>
    <col min="9" max="16384" width="9.109375" style="456"/>
  </cols>
  <sheetData>
    <row r="1" spans="1:8" ht="15" thickBot="1"/>
    <row r="2" spans="1:8" ht="15" thickBot="1">
      <c r="A2" s="449" t="s">
        <v>301</v>
      </c>
      <c r="B2" s="450">
        <f>+H8</f>
        <v>6942.78</v>
      </c>
    </row>
    <row r="6" spans="1:8">
      <c r="A6" s="503" t="s">
        <v>447</v>
      </c>
      <c r="B6" s="504" t="s">
        <v>448</v>
      </c>
      <c r="C6" s="504" t="s">
        <v>449</v>
      </c>
      <c r="D6" s="503" t="s">
        <v>450</v>
      </c>
      <c r="E6" s="504" t="s">
        <v>451</v>
      </c>
      <c r="F6" s="505" t="s">
        <v>452</v>
      </c>
      <c r="G6" s="505" t="s">
        <v>453</v>
      </c>
      <c r="H6" s="505" t="s">
        <v>454</v>
      </c>
    </row>
    <row r="7" spans="1:8">
      <c r="A7" s="507">
        <v>46232</v>
      </c>
      <c r="B7" s="508"/>
      <c r="C7" s="508"/>
      <c r="D7" s="522"/>
      <c r="E7" s="509"/>
      <c r="F7" s="523"/>
      <c r="G7" s="523">
        <v>5500</v>
      </c>
      <c r="H7" s="524">
        <v>7887.78</v>
      </c>
    </row>
    <row r="8" spans="1:8">
      <c r="A8" s="507">
        <v>46232</v>
      </c>
      <c r="B8" s="508"/>
      <c r="C8" s="508"/>
      <c r="D8" s="522"/>
      <c r="E8" s="509"/>
      <c r="F8" s="523">
        <v>945</v>
      </c>
      <c r="G8" s="523"/>
      <c r="H8" s="524">
        <f>+H7-F8</f>
        <v>6942.78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48E3-6974-4E57-B6D9-EA65310A115D}">
  <dimension ref="A1:H9"/>
  <sheetViews>
    <sheetView workbookViewId="0">
      <selection activeCell="G14" sqref="G14"/>
    </sheetView>
  </sheetViews>
  <sheetFormatPr defaultRowHeight="14.4"/>
  <cols>
    <col min="1" max="1" width="11.5546875" bestFit="1" customWidth="1"/>
    <col min="2" max="2" width="16.6640625" bestFit="1" customWidth="1"/>
    <col min="3" max="3" width="11.33203125" bestFit="1" customWidth="1"/>
    <col min="4" max="4" width="16" bestFit="1" customWidth="1"/>
    <col min="5" max="5" width="17.33203125" bestFit="1" customWidth="1"/>
    <col min="6" max="6" width="11.5546875" style="29" bestFit="1" customWidth="1"/>
    <col min="7" max="7" width="20.33203125" bestFit="1" customWidth="1"/>
    <col min="8" max="8" width="61.109375" bestFit="1" customWidth="1"/>
    <col min="9" max="9" width="12.44140625" bestFit="1" customWidth="1"/>
  </cols>
  <sheetData>
    <row r="1" spans="1:8" ht="15" thickBot="1"/>
    <row r="2" spans="1:8" ht="15" thickBot="1">
      <c r="A2" s="449" t="s">
        <v>301</v>
      </c>
      <c r="B2" s="450">
        <f>+F9</f>
        <v>34557</v>
      </c>
    </row>
    <row r="7" spans="1:8" ht="15.6">
      <c r="A7" s="525" t="s">
        <v>456</v>
      </c>
      <c r="B7" s="525" t="s">
        <v>457</v>
      </c>
      <c r="C7" s="525" t="s">
        <v>458</v>
      </c>
      <c r="D7" s="525" t="s">
        <v>459</v>
      </c>
      <c r="E7" s="525" t="s">
        <v>460</v>
      </c>
      <c r="F7" s="526" t="s">
        <v>461</v>
      </c>
      <c r="G7" s="525" t="s">
        <v>462</v>
      </c>
      <c r="H7" s="525" t="s">
        <v>463</v>
      </c>
    </row>
    <row r="8" spans="1:8">
      <c r="A8" s="238" t="s">
        <v>339</v>
      </c>
      <c r="B8" s="238"/>
      <c r="C8" s="238" t="s">
        <v>223</v>
      </c>
      <c r="D8" s="238">
        <v>50</v>
      </c>
      <c r="E8" s="238"/>
      <c r="F8" s="314">
        <v>34621</v>
      </c>
      <c r="G8" s="238" t="s">
        <v>241</v>
      </c>
      <c r="H8" s="238"/>
    </row>
    <row r="9" spans="1:8">
      <c r="A9" s="238" t="s">
        <v>339</v>
      </c>
      <c r="B9" s="238"/>
      <c r="C9" s="238" t="s">
        <v>223</v>
      </c>
      <c r="D9" s="238">
        <v>64</v>
      </c>
      <c r="E9" s="238"/>
      <c r="F9" s="314">
        <f>+F8-D9</f>
        <v>34557</v>
      </c>
      <c r="G9" s="238" t="s">
        <v>241</v>
      </c>
      <c r="H9" s="238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43C2-DAF9-4F62-B32F-1B014DB9B2EF}">
  <dimension ref="A1:H22"/>
  <sheetViews>
    <sheetView topLeftCell="A8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63791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464</v>
      </c>
      <c r="C10" s="797"/>
      <c r="D10" s="491" t="s">
        <v>344</v>
      </c>
      <c r="E10" s="797" t="s">
        <v>465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196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466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801">
        <v>63791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801">
        <v>63791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/>
      <c r="F21" s="497">
        <v>15140</v>
      </c>
      <c r="G21" s="498">
        <f>+G22+F21</f>
        <v>63791</v>
      </c>
      <c r="H21" s="489"/>
    </row>
    <row r="22" spans="1:8" ht="24.9" customHeight="1">
      <c r="A22" s="497" t="s">
        <v>360</v>
      </c>
      <c r="B22" s="497" t="s">
        <v>360</v>
      </c>
      <c r="C22" s="497"/>
      <c r="D22" s="497"/>
      <c r="E22" s="497">
        <v>6545</v>
      </c>
      <c r="F22" s="497" t="s">
        <v>367</v>
      </c>
      <c r="G22" s="498">
        <v>48651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AFA6-24C1-48A9-86DA-563B26A73CC6}">
  <dimension ref="A1:H22"/>
  <sheetViews>
    <sheetView topLeftCell="A11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5981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467</v>
      </c>
      <c r="C10" s="797"/>
      <c r="D10" s="491" t="s">
        <v>344</v>
      </c>
      <c r="E10" s="797" t="s">
        <v>465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245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468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5981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1">
        <v>5981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398</v>
      </c>
      <c r="B21" s="497" t="s">
        <v>398</v>
      </c>
      <c r="C21" s="497"/>
      <c r="D21" s="497"/>
      <c r="E21" s="497">
        <v>4564</v>
      </c>
      <c r="F21" s="497" t="s">
        <v>367</v>
      </c>
      <c r="G21" s="498">
        <f>+G22-E21</f>
        <v>5981</v>
      </c>
      <c r="H21" s="489"/>
    </row>
    <row r="22" spans="1:8">
      <c r="A22" s="497" t="s">
        <v>469</v>
      </c>
      <c r="B22" s="497" t="s">
        <v>469</v>
      </c>
      <c r="C22" s="497"/>
      <c r="D22" s="497"/>
      <c r="E22" s="497" t="s">
        <v>367</v>
      </c>
      <c r="F22" s="497">
        <v>25</v>
      </c>
      <c r="G22" s="498">
        <v>10545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1F4F-72F5-4D95-B192-55B212C29981}">
  <dimension ref="A1:H22"/>
  <sheetViews>
    <sheetView topLeftCell="A11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45854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470</v>
      </c>
      <c r="C10" s="797"/>
      <c r="D10" s="491" t="s">
        <v>344</v>
      </c>
      <c r="E10" s="797" t="s">
        <v>465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471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45854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1">
        <v>164865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372</v>
      </c>
      <c r="B21" s="497" t="s">
        <v>372</v>
      </c>
      <c r="C21" s="497"/>
      <c r="D21" s="497"/>
      <c r="E21" s="497">
        <v>25</v>
      </c>
      <c r="F21" s="497" t="s">
        <v>367</v>
      </c>
      <c r="G21" s="498">
        <f>+G22-E21</f>
        <v>45854</v>
      </c>
      <c r="H21" s="489"/>
    </row>
    <row r="22" spans="1:8">
      <c r="A22" s="497" t="s">
        <v>469</v>
      </c>
      <c r="B22" s="497" t="s">
        <v>469</v>
      </c>
      <c r="C22" s="497"/>
      <c r="D22" s="497"/>
      <c r="E22" s="497">
        <v>2354</v>
      </c>
      <c r="F22" s="497" t="s">
        <v>367</v>
      </c>
      <c r="G22" s="498">
        <v>45879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AE8D-0877-4332-9A47-708BCA4A4E3C}">
  <dimension ref="A1:H22"/>
  <sheetViews>
    <sheetView topLeftCell="A6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90531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472</v>
      </c>
      <c r="C10" s="797"/>
      <c r="D10" s="491" t="s">
        <v>344</v>
      </c>
      <c r="E10" s="797" t="s">
        <v>465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473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801">
        <v>90531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801">
        <v>254862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383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 t="s">
        <v>367</v>
      </c>
      <c r="F21" s="497">
        <v>1080</v>
      </c>
      <c r="G21" s="498">
        <f>+G22+F21</f>
        <v>90531</v>
      </c>
      <c r="H21" s="489"/>
    </row>
    <row r="22" spans="1:8" ht="24.9" customHeight="1">
      <c r="A22" s="497" t="s">
        <v>360</v>
      </c>
      <c r="B22" s="497" t="s">
        <v>360</v>
      </c>
      <c r="C22" s="497"/>
      <c r="D22" s="497"/>
      <c r="E22" s="497" t="s">
        <v>367</v>
      </c>
      <c r="F22" s="497">
        <v>11153</v>
      </c>
      <c r="G22" s="498">
        <v>89451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5D05-BB3F-4709-B463-4EC283A8FE9D}">
  <dimension ref="A1:H22"/>
  <sheetViews>
    <sheetView topLeftCell="A6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73391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474</v>
      </c>
      <c r="C10" s="797"/>
      <c r="D10" s="491" t="s">
        <v>344</v>
      </c>
      <c r="E10" s="797" t="s">
        <v>475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476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73391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1">
        <v>854588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420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360</v>
      </c>
      <c r="B21" s="497" t="s">
        <v>360</v>
      </c>
      <c r="C21" s="497"/>
      <c r="D21" s="497"/>
      <c r="E21" s="497">
        <v>74454</v>
      </c>
      <c r="F21" s="497"/>
      <c r="G21" s="498">
        <f>+G22-E21</f>
        <v>73391</v>
      </c>
      <c r="H21" s="489"/>
    </row>
    <row r="22" spans="1:8">
      <c r="A22" s="497" t="s">
        <v>360</v>
      </c>
      <c r="B22" s="497" t="s">
        <v>360</v>
      </c>
      <c r="C22" s="497"/>
      <c r="D22" s="497"/>
      <c r="E22" s="497" t="s">
        <v>367</v>
      </c>
      <c r="F22" s="497">
        <v>14754</v>
      </c>
      <c r="G22" s="498">
        <v>147845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9CFE-1FF9-47A2-9976-DC8C45B242A4}">
  <dimension ref="A1:H22"/>
  <sheetViews>
    <sheetView topLeftCell="A6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5624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477</v>
      </c>
      <c r="C10" s="797"/>
      <c r="D10" s="491" t="s">
        <v>344</v>
      </c>
      <c r="E10" s="797" t="s">
        <v>478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196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479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5624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1">
        <v>5624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377</v>
      </c>
      <c r="B21" s="497" t="s">
        <v>377</v>
      </c>
      <c r="C21" s="497"/>
      <c r="D21" s="497"/>
      <c r="E21" s="497">
        <v>30</v>
      </c>
      <c r="F21" s="497" t="s">
        <v>367</v>
      </c>
      <c r="G21" s="498">
        <f>+G22-E21</f>
        <v>5624</v>
      </c>
      <c r="H21" s="489"/>
    </row>
    <row r="22" spans="1:8">
      <c r="A22" s="497" t="s">
        <v>377</v>
      </c>
      <c r="B22" s="497" t="s">
        <v>377</v>
      </c>
      <c r="C22" s="497"/>
      <c r="D22" s="497"/>
      <c r="E22" s="497">
        <v>445</v>
      </c>
      <c r="F22" s="497" t="s">
        <v>367</v>
      </c>
      <c r="G22" s="498">
        <v>5654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74EC-81DE-4071-A31F-99DE28C1D67C}">
  <dimension ref="A1:H21"/>
  <sheetViews>
    <sheetView workbookViewId="0">
      <selection activeCell="G14" sqref="G14"/>
    </sheetView>
  </sheetViews>
  <sheetFormatPr defaultRowHeight="14.4"/>
  <cols>
    <col min="1" max="1" width="19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6484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480</v>
      </c>
      <c r="C10" s="797"/>
      <c r="D10" s="491" t="s">
        <v>344</v>
      </c>
      <c r="E10" s="797" t="s">
        <v>478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481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6484</v>
      </c>
      <c r="C16" s="797"/>
      <c r="D16" s="489"/>
      <c r="E16" s="489"/>
      <c r="F16" s="489"/>
      <c r="G16" s="490"/>
      <c r="H16" s="489"/>
    </row>
    <row r="17" spans="1:8" ht="15.6">
      <c r="A17" s="491" t="s">
        <v>355</v>
      </c>
      <c r="B17" s="802">
        <v>92245.36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371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372</v>
      </c>
      <c r="B21" s="497" t="s">
        <v>372</v>
      </c>
      <c r="C21" s="497"/>
      <c r="D21" s="497"/>
      <c r="E21" s="497">
        <v>25</v>
      </c>
      <c r="F21" s="497" t="s">
        <v>367</v>
      </c>
      <c r="G21" s="498">
        <v>6484</v>
      </c>
      <c r="H21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0FC5-612E-4808-B49C-EE5B86148DF8}">
  <dimension ref="A1:H22"/>
  <sheetViews>
    <sheetView topLeftCell="A9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16031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482</v>
      </c>
      <c r="C10" s="797"/>
      <c r="D10" s="491" t="s">
        <v>344</v>
      </c>
      <c r="E10" s="797" t="s">
        <v>478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483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801">
        <v>16031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802">
        <v>65144.89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420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360</v>
      </c>
      <c r="B21" s="497" t="s">
        <v>360</v>
      </c>
      <c r="C21" s="497"/>
      <c r="D21" s="497"/>
      <c r="E21" s="497">
        <v>9458</v>
      </c>
      <c r="F21" s="497" t="s">
        <v>367</v>
      </c>
      <c r="G21" s="498">
        <f>+G22-E21</f>
        <v>16031</v>
      </c>
      <c r="H21" s="489"/>
    </row>
    <row r="22" spans="1:8">
      <c r="A22" s="497" t="s">
        <v>417</v>
      </c>
      <c r="B22" s="497" t="s">
        <v>417</v>
      </c>
      <c r="C22" s="497"/>
      <c r="D22" s="497"/>
      <c r="E22" s="497">
        <v>1574</v>
      </c>
      <c r="F22" s="497" t="s">
        <v>367</v>
      </c>
      <c r="G22" s="498">
        <v>25489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F2EB-2F17-44C7-B412-52FC00ED193F}">
  <dimension ref="A1:H22"/>
  <sheetViews>
    <sheetView topLeftCell="A9" workbookViewId="0">
      <selection activeCell="G14" sqref="G14"/>
    </sheetView>
  </sheetViews>
  <sheetFormatPr defaultRowHeight="14.4"/>
  <cols>
    <col min="1" max="2" width="17.44140625" customWidth="1"/>
    <col min="3" max="6" width="17.33203125" customWidth="1"/>
    <col min="7" max="7" width="17.33203125" style="29" customWidth="1"/>
    <col min="8" max="8" width="0.33203125" customWidth="1"/>
    <col min="257" max="258" width="17.44140625" customWidth="1"/>
    <col min="259" max="263" width="17.33203125" customWidth="1"/>
    <col min="264" max="264" width="0.33203125" customWidth="1"/>
    <col min="513" max="514" width="17.44140625" customWidth="1"/>
    <col min="515" max="519" width="17.33203125" customWidth="1"/>
    <col min="520" max="520" width="0.33203125" customWidth="1"/>
    <col min="769" max="770" width="17.44140625" customWidth="1"/>
    <col min="771" max="775" width="17.33203125" customWidth="1"/>
    <col min="776" max="776" width="0.33203125" customWidth="1"/>
    <col min="1025" max="1026" width="17.44140625" customWidth="1"/>
    <col min="1027" max="1031" width="17.33203125" customWidth="1"/>
    <col min="1032" max="1032" width="0.33203125" customWidth="1"/>
    <col min="1281" max="1282" width="17.44140625" customWidth="1"/>
    <col min="1283" max="1287" width="17.33203125" customWidth="1"/>
    <col min="1288" max="1288" width="0.33203125" customWidth="1"/>
    <col min="1537" max="1538" width="17.44140625" customWidth="1"/>
    <col min="1539" max="1543" width="17.33203125" customWidth="1"/>
    <col min="1544" max="1544" width="0.33203125" customWidth="1"/>
    <col min="1793" max="1794" width="17.44140625" customWidth="1"/>
    <col min="1795" max="1799" width="17.33203125" customWidth="1"/>
    <col min="1800" max="1800" width="0.33203125" customWidth="1"/>
    <col min="2049" max="2050" width="17.44140625" customWidth="1"/>
    <col min="2051" max="2055" width="17.33203125" customWidth="1"/>
    <col min="2056" max="2056" width="0.33203125" customWidth="1"/>
    <col min="2305" max="2306" width="17.44140625" customWidth="1"/>
    <col min="2307" max="2311" width="17.33203125" customWidth="1"/>
    <col min="2312" max="2312" width="0.33203125" customWidth="1"/>
    <col min="2561" max="2562" width="17.44140625" customWidth="1"/>
    <col min="2563" max="2567" width="17.33203125" customWidth="1"/>
    <col min="2568" max="2568" width="0.33203125" customWidth="1"/>
    <col min="2817" max="2818" width="17.44140625" customWidth="1"/>
    <col min="2819" max="2823" width="17.33203125" customWidth="1"/>
    <col min="2824" max="2824" width="0.33203125" customWidth="1"/>
    <col min="3073" max="3074" width="17.44140625" customWidth="1"/>
    <col min="3075" max="3079" width="17.33203125" customWidth="1"/>
    <col min="3080" max="3080" width="0.33203125" customWidth="1"/>
    <col min="3329" max="3330" width="17.44140625" customWidth="1"/>
    <col min="3331" max="3335" width="17.33203125" customWidth="1"/>
    <col min="3336" max="3336" width="0.33203125" customWidth="1"/>
    <col min="3585" max="3586" width="17.44140625" customWidth="1"/>
    <col min="3587" max="3591" width="17.33203125" customWidth="1"/>
    <col min="3592" max="3592" width="0.33203125" customWidth="1"/>
    <col min="3841" max="3842" width="17.44140625" customWidth="1"/>
    <col min="3843" max="3847" width="17.33203125" customWidth="1"/>
    <col min="3848" max="3848" width="0.33203125" customWidth="1"/>
    <col min="4097" max="4098" width="17.44140625" customWidth="1"/>
    <col min="4099" max="4103" width="17.33203125" customWidth="1"/>
    <col min="4104" max="4104" width="0.33203125" customWidth="1"/>
    <col min="4353" max="4354" width="17.44140625" customWidth="1"/>
    <col min="4355" max="4359" width="17.33203125" customWidth="1"/>
    <col min="4360" max="4360" width="0.33203125" customWidth="1"/>
    <col min="4609" max="4610" width="17.44140625" customWidth="1"/>
    <col min="4611" max="4615" width="17.33203125" customWidth="1"/>
    <col min="4616" max="4616" width="0.33203125" customWidth="1"/>
    <col min="4865" max="4866" width="17.44140625" customWidth="1"/>
    <col min="4867" max="4871" width="17.33203125" customWidth="1"/>
    <col min="4872" max="4872" width="0.33203125" customWidth="1"/>
    <col min="5121" max="5122" width="17.44140625" customWidth="1"/>
    <col min="5123" max="5127" width="17.33203125" customWidth="1"/>
    <col min="5128" max="5128" width="0.33203125" customWidth="1"/>
    <col min="5377" max="5378" width="17.44140625" customWidth="1"/>
    <col min="5379" max="5383" width="17.33203125" customWidth="1"/>
    <col min="5384" max="5384" width="0.33203125" customWidth="1"/>
    <col min="5633" max="5634" width="17.44140625" customWidth="1"/>
    <col min="5635" max="5639" width="17.33203125" customWidth="1"/>
    <col min="5640" max="5640" width="0.33203125" customWidth="1"/>
    <col min="5889" max="5890" width="17.44140625" customWidth="1"/>
    <col min="5891" max="5895" width="17.33203125" customWidth="1"/>
    <col min="5896" max="5896" width="0.33203125" customWidth="1"/>
    <col min="6145" max="6146" width="17.44140625" customWidth="1"/>
    <col min="6147" max="6151" width="17.33203125" customWidth="1"/>
    <col min="6152" max="6152" width="0.33203125" customWidth="1"/>
    <col min="6401" max="6402" width="17.44140625" customWidth="1"/>
    <col min="6403" max="6407" width="17.33203125" customWidth="1"/>
    <col min="6408" max="6408" width="0.33203125" customWidth="1"/>
    <col min="6657" max="6658" width="17.44140625" customWidth="1"/>
    <col min="6659" max="6663" width="17.33203125" customWidth="1"/>
    <col min="6664" max="6664" width="0.33203125" customWidth="1"/>
    <col min="6913" max="6914" width="17.44140625" customWidth="1"/>
    <col min="6915" max="6919" width="17.33203125" customWidth="1"/>
    <col min="6920" max="6920" width="0.33203125" customWidth="1"/>
    <col min="7169" max="7170" width="17.44140625" customWidth="1"/>
    <col min="7171" max="7175" width="17.33203125" customWidth="1"/>
    <col min="7176" max="7176" width="0.33203125" customWidth="1"/>
    <col min="7425" max="7426" width="17.44140625" customWidth="1"/>
    <col min="7427" max="7431" width="17.33203125" customWidth="1"/>
    <col min="7432" max="7432" width="0.33203125" customWidth="1"/>
    <col min="7681" max="7682" width="17.44140625" customWidth="1"/>
    <col min="7683" max="7687" width="17.33203125" customWidth="1"/>
    <col min="7688" max="7688" width="0.33203125" customWidth="1"/>
    <col min="7937" max="7938" width="17.44140625" customWidth="1"/>
    <col min="7939" max="7943" width="17.33203125" customWidth="1"/>
    <col min="7944" max="7944" width="0.33203125" customWidth="1"/>
    <col min="8193" max="8194" width="17.44140625" customWidth="1"/>
    <col min="8195" max="8199" width="17.33203125" customWidth="1"/>
    <col min="8200" max="8200" width="0.33203125" customWidth="1"/>
    <col min="8449" max="8450" width="17.44140625" customWidth="1"/>
    <col min="8451" max="8455" width="17.33203125" customWidth="1"/>
    <col min="8456" max="8456" width="0.33203125" customWidth="1"/>
    <col min="8705" max="8706" width="17.44140625" customWidth="1"/>
    <col min="8707" max="8711" width="17.33203125" customWidth="1"/>
    <col min="8712" max="8712" width="0.33203125" customWidth="1"/>
    <col min="8961" max="8962" width="17.44140625" customWidth="1"/>
    <col min="8963" max="8967" width="17.33203125" customWidth="1"/>
    <col min="8968" max="8968" width="0.33203125" customWidth="1"/>
    <col min="9217" max="9218" width="17.44140625" customWidth="1"/>
    <col min="9219" max="9223" width="17.33203125" customWidth="1"/>
    <col min="9224" max="9224" width="0.33203125" customWidth="1"/>
    <col min="9473" max="9474" width="17.44140625" customWidth="1"/>
    <col min="9475" max="9479" width="17.33203125" customWidth="1"/>
    <col min="9480" max="9480" width="0.33203125" customWidth="1"/>
    <col min="9729" max="9730" width="17.44140625" customWidth="1"/>
    <col min="9731" max="9735" width="17.33203125" customWidth="1"/>
    <col min="9736" max="9736" width="0.33203125" customWidth="1"/>
    <col min="9985" max="9986" width="17.44140625" customWidth="1"/>
    <col min="9987" max="9991" width="17.33203125" customWidth="1"/>
    <col min="9992" max="9992" width="0.33203125" customWidth="1"/>
    <col min="10241" max="10242" width="17.44140625" customWidth="1"/>
    <col min="10243" max="10247" width="17.33203125" customWidth="1"/>
    <col min="10248" max="10248" width="0.33203125" customWidth="1"/>
    <col min="10497" max="10498" width="17.44140625" customWidth="1"/>
    <col min="10499" max="10503" width="17.33203125" customWidth="1"/>
    <col min="10504" max="10504" width="0.33203125" customWidth="1"/>
    <col min="10753" max="10754" width="17.44140625" customWidth="1"/>
    <col min="10755" max="10759" width="17.33203125" customWidth="1"/>
    <col min="10760" max="10760" width="0.33203125" customWidth="1"/>
    <col min="11009" max="11010" width="17.44140625" customWidth="1"/>
    <col min="11011" max="11015" width="17.33203125" customWidth="1"/>
    <col min="11016" max="11016" width="0.33203125" customWidth="1"/>
    <col min="11265" max="11266" width="17.44140625" customWidth="1"/>
    <col min="11267" max="11271" width="17.33203125" customWidth="1"/>
    <col min="11272" max="11272" width="0.33203125" customWidth="1"/>
    <col min="11521" max="11522" width="17.44140625" customWidth="1"/>
    <col min="11523" max="11527" width="17.33203125" customWidth="1"/>
    <col min="11528" max="11528" width="0.33203125" customWidth="1"/>
    <col min="11777" max="11778" width="17.44140625" customWidth="1"/>
    <col min="11779" max="11783" width="17.33203125" customWidth="1"/>
    <col min="11784" max="11784" width="0.33203125" customWidth="1"/>
    <col min="12033" max="12034" width="17.44140625" customWidth="1"/>
    <col min="12035" max="12039" width="17.33203125" customWidth="1"/>
    <col min="12040" max="12040" width="0.33203125" customWidth="1"/>
    <col min="12289" max="12290" width="17.44140625" customWidth="1"/>
    <col min="12291" max="12295" width="17.33203125" customWidth="1"/>
    <col min="12296" max="12296" width="0.33203125" customWidth="1"/>
    <col min="12545" max="12546" width="17.44140625" customWidth="1"/>
    <col min="12547" max="12551" width="17.33203125" customWidth="1"/>
    <col min="12552" max="12552" width="0.33203125" customWidth="1"/>
    <col min="12801" max="12802" width="17.44140625" customWidth="1"/>
    <col min="12803" max="12807" width="17.33203125" customWidth="1"/>
    <col min="12808" max="12808" width="0.33203125" customWidth="1"/>
    <col min="13057" max="13058" width="17.44140625" customWidth="1"/>
    <col min="13059" max="13063" width="17.33203125" customWidth="1"/>
    <col min="13064" max="13064" width="0.33203125" customWidth="1"/>
    <col min="13313" max="13314" width="17.44140625" customWidth="1"/>
    <col min="13315" max="13319" width="17.33203125" customWidth="1"/>
    <col min="13320" max="13320" width="0.33203125" customWidth="1"/>
    <col min="13569" max="13570" width="17.44140625" customWidth="1"/>
    <col min="13571" max="13575" width="17.33203125" customWidth="1"/>
    <col min="13576" max="13576" width="0.33203125" customWidth="1"/>
    <col min="13825" max="13826" width="17.44140625" customWidth="1"/>
    <col min="13827" max="13831" width="17.33203125" customWidth="1"/>
    <col min="13832" max="13832" width="0.33203125" customWidth="1"/>
    <col min="14081" max="14082" width="17.44140625" customWidth="1"/>
    <col min="14083" max="14087" width="17.33203125" customWidth="1"/>
    <col min="14088" max="14088" width="0.33203125" customWidth="1"/>
    <col min="14337" max="14338" width="17.44140625" customWidth="1"/>
    <col min="14339" max="14343" width="17.33203125" customWidth="1"/>
    <col min="14344" max="14344" width="0.33203125" customWidth="1"/>
    <col min="14593" max="14594" width="17.44140625" customWidth="1"/>
    <col min="14595" max="14599" width="17.33203125" customWidth="1"/>
    <col min="14600" max="14600" width="0.33203125" customWidth="1"/>
    <col min="14849" max="14850" width="17.44140625" customWidth="1"/>
    <col min="14851" max="14855" width="17.33203125" customWidth="1"/>
    <col min="14856" max="14856" width="0.33203125" customWidth="1"/>
    <col min="15105" max="15106" width="17.44140625" customWidth="1"/>
    <col min="15107" max="15111" width="17.33203125" customWidth="1"/>
    <col min="15112" max="15112" width="0.33203125" customWidth="1"/>
    <col min="15361" max="15362" width="17.44140625" customWidth="1"/>
    <col min="15363" max="15367" width="17.33203125" customWidth="1"/>
    <col min="15368" max="15368" width="0.33203125" customWidth="1"/>
    <col min="15617" max="15618" width="17.44140625" customWidth="1"/>
    <col min="15619" max="15623" width="17.33203125" customWidth="1"/>
    <col min="15624" max="15624" width="0.33203125" customWidth="1"/>
    <col min="15873" max="15874" width="17.44140625" customWidth="1"/>
    <col min="15875" max="15879" width="17.33203125" customWidth="1"/>
    <col min="15880" max="15880" width="0.33203125" customWidth="1"/>
    <col min="16129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991</v>
      </c>
    </row>
    <row r="6" spans="1:8">
      <c r="A6" s="489"/>
      <c r="B6" s="489"/>
      <c r="C6" s="489"/>
      <c r="D6" s="489"/>
      <c r="E6" s="489"/>
      <c r="F6" s="489"/>
      <c r="G6" s="490"/>
      <c r="H6" s="489"/>
    </row>
    <row r="7" spans="1:8" ht="15.6">
      <c r="B7" s="489"/>
      <c r="C7" s="799" t="s">
        <v>340</v>
      </c>
      <c r="D7" s="799"/>
      <c r="E7" s="799"/>
      <c r="F7" s="489"/>
      <c r="G7" s="490"/>
      <c r="H7" s="489"/>
    </row>
    <row r="8" spans="1:8">
      <c r="B8" s="489"/>
      <c r="C8" s="800" t="s">
        <v>341</v>
      </c>
      <c r="D8" s="800"/>
      <c r="E8" s="800"/>
      <c r="F8" s="489"/>
      <c r="G8" s="490"/>
      <c r="H8" s="489"/>
    </row>
    <row r="9" spans="1:8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30">
      <c r="A10" s="491" t="s">
        <v>343</v>
      </c>
      <c r="B10" s="797" t="s">
        <v>484</v>
      </c>
      <c r="C10" s="797"/>
      <c r="D10" s="491" t="s">
        <v>344</v>
      </c>
      <c r="E10" s="797" t="s">
        <v>478</v>
      </c>
      <c r="F10" s="797"/>
      <c r="G10" s="797"/>
      <c r="H10" s="489"/>
    </row>
    <row r="11" spans="1:8" ht="15.6">
      <c r="A11" s="491" t="s">
        <v>227</v>
      </c>
      <c r="B11" s="797" t="s">
        <v>346</v>
      </c>
      <c r="C11" s="797"/>
      <c r="D11" s="491" t="s">
        <v>229</v>
      </c>
      <c r="E11" s="797" t="s">
        <v>245</v>
      </c>
      <c r="F11" s="797"/>
      <c r="G11" s="797"/>
      <c r="H11" s="489"/>
    </row>
    <row r="12" spans="1:8" ht="15.6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5.6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5.6">
      <c r="A14" s="491" t="s">
        <v>351</v>
      </c>
      <c r="B14" s="798" t="s">
        <v>485</v>
      </c>
      <c r="C14" s="798"/>
      <c r="D14" s="489"/>
      <c r="E14" s="489"/>
      <c r="F14" s="489"/>
      <c r="G14" s="490"/>
      <c r="H14" s="489"/>
    </row>
    <row r="15" spans="1:8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5.6">
      <c r="A16" s="491" t="s">
        <v>354</v>
      </c>
      <c r="B16" s="797">
        <v>991</v>
      </c>
      <c r="C16" s="797"/>
      <c r="D16" s="489"/>
      <c r="E16" s="489"/>
      <c r="F16" s="489"/>
      <c r="G16" s="490"/>
      <c r="H16" s="489"/>
    </row>
    <row r="17" spans="1:8" ht="30">
      <c r="A17" s="491" t="s">
        <v>355</v>
      </c>
      <c r="B17" s="797">
        <v>991</v>
      </c>
      <c r="C17" s="797"/>
      <c r="D17" s="489"/>
      <c r="E17" s="489"/>
      <c r="F17" s="489"/>
      <c r="G17" s="490"/>
      <c r="H17" s="489"/>
    </row>
    <row r="18" spans="1:8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5.6">
      <c r="A19" s="489"/>
      <c r="B19" s="794" t="s">
        <v>357</v>
      </c>
      <c r="C19" s="794"/>
      <c r="D19" s="493" t="s">
        <v>486</v>
      </c>
      <c r="E19" s="492" t="s">
        <v>359</v>
      </c>
      <c r="F19" s="795" t="s">
        <v>360</v>
      </c>
      <c r="G19" s="795"/>
      <c r="H19" s="795"/>
    </row>
    <row r="20" spans="1:8" ht="30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>
      <c r="A21" s="497" t="s">
        <v>487</v>
      </c>
      <c r="B21" s="497" t="s">
        <v>488</v>
      </c>
      <c r="C21" s="497"/>
      <c r="D21" s="497"/>
      <c r="E21" s="497">
        <v>24</v>
      </c>
      <c r="F21" s="497" t="s">
        <v>367</v>
      </c>
      <c r="G21" s="498">
        <f>+G22-E21</f>
        <v>991</v>
      </c>
      <c r="H21" s="489"/>
    </row>
    <row r="22" spans="1:8">
      <c r="A22" s="497" t="s">
        <v>486</v>
      </c>
      <c r="B22" s="497" t="s">
        <v>489</v>
      </c>
      <c r="C22" s="497"/>
      <c r="D22" s="497"/>
      <c r="E22" s="497">
        <v>24</v>
      </c>
      <c r="F22" s="497" t="s">
        <v>367</v>
      </c>
      <c r="G22" s="498">
        <v>1015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B102-0C56-4967-872A-D64E067514BE}">
  <dimension ref="A1:H22"/>
  <sheetViews>
    <sheetView workbookViewId="0">
      <selection activeCell="B10" sqref="B10:C10"/>
    </sheetView>
  </sheetViews>
  <sheetFormatPr defaultRowHeight="14.4"/>
  <cols>
    <col min="1" max="1" width="19.44140625" bestFit="1" customWidth="1"/>
    <col min="2" max="2" width="17.44140625" customWidth="1"/>
    <col min="3" max="6" width="17.33203125" customWidth="1"/>
    <col min="7" max="7" width="17.33203125" style="29" customWidth="1"/>
    <col min="8" max="8" width="0.33203125" customWidth="1"/>
    <col min="257" max="257" width="19.44140625" bestFit="1" customWidth="1"/>
    <col min="258" max="258" width="17.44140625" customWidth="1"/>
    <col min="259" max="263" width="17.33203125" customWidth="1"/>
    <col min="264" max="264" width="0.33203125" customWidth="1"/>
    <col min="513" max="513" width="19.44140625" bestFit="1" customWidth="1"/>
    <col min="514" max="514" width="17.44140625" customWidth="1"/>
    <col min="515" max="519" width="17.33203125" customWidth="1"/>
    <col min="520" max="520" width="0.33203125" customWidth="1"/>
    <col min="769" max="769" width="19.44140625" bestFit="1" customWidth="1"/>
    <col min="770" max="770" width="17.44140625" customWidth="1"/>
    <col min="771" max="775" width="17.33203125" customWidth="1"/>
    <col min="776" max="776" width="0.33203125" customWidth="1"/>
    <col min="1025" max="1025" width="19.44140625" bestFit="1" customWidth="1"/>
    <col min="1026" max="1026" width="17.44140625" customWidth="1"/>
    <col min="1027" max="1031" width="17.33203125" customWidth="1"/>
    <col min="1032" max="1032" width="0.33203125" customWidth="1"/>
    <col min="1281" max="1281" width="19.44140625" bestFit="1" customWidth="1"/>
    <col min="1282" max="1282" width="17.44140625" customWidth="1"/>
    <col min="1283" max="1287" width="17.33203125" customWidth="1"/>
    <col min="1288" max="1288" width="0.33203125" customWidth="1"/>
    <col min="1537" max="1537" width="19.44140625" bestFit="1" customWidth="1"/>
    <col min="1538" max="1538" width="17.44140625" customWidth="1"/>
    <col min="1539" max="1543" width="17.33203125" customWidth="1"/>
    <col min="1544" max="1544" width="0.33203125" customWidth="1"/>
    <col min="1793" max="1793" width="19.44140625" bestFit="1" customWidth="1"/>
    <col min="1794" max="1794" width="17.44140625" customWidth="1"/>
    <col min="1795" max="1799" width="17.33203125" customWidth="1"/>
    <col min="1800" max="1800" width="0.33203125" customWidth="1"/>
    <col min="2049" max="2049" width="19.44140625" bestFit="1" customWidth="1"/>
    <col min="2050" max="2050" width="17.44140625" customWidth="1"/>
    <col min="2051" max="2055" width="17.33203125" customWidth="1"/>
    <col min="2056" max="2056" width="0.33203125" customWidth="1"/>
    <col min="2305" max="2305" width="19.44140625" bestFit="1" customWidth="1"/>
    <col min="2306" max="2306" width="17.44140625" customWidth="1"/>
    <col min="2307" max="2311" width="17.33203125" customWidth="1"/>
    <col min="2312" max="2312" width="0.33203125" customWidth="1"/>
    <col min="2561" max="2561" width="19.44140625" bestFit="1" customWidth="1"/>
    <col min="2562" max="2562" width="17.44140625" customWidth="1"/>
    <col min="2563" max="2567" width="17.33203125" customWidth="1"/>
    <col min="2568" max="2568" width="0.33203125" customWidth="1"/>
    <col min="2817" max="2817" width="19.44140625" bestFit="1" customWidth="1"/>
    <col min="2818" max="2818" width="17.44140625" customWidth="1"/>
    <col min="2819" max="2823" width="17.33203125" customWidth="1"/>
    <col min="2824" max="2824" width="0.33203125" customWidth="1"/>
    <col min="3073" max="3073" width="19.44140625" bestFit="1" customWidth="1"/>
    <col min="3074" max="3074" width="17.44140625" customWidth="1"/>
    <col min="3075" max="3079" width="17.33203125" customWidth="1"/>
    <col min="3080" max="3080" width="0.33203125" customWidth="1"/>
    <col min="3329" max="3329" width="19.44140625" bestFit="1" customWidth="1"/>
    <col min="3330" max="3330" width="17.44140625" customWidth="1"/>
    <col min="3331" max="3335" width="17.33203125" customWidth="1"/>
    <col min="3336" max="3336" width="0.33203125" customWidth="1"/>
    <col min="3585" max="3585" width="19.44140625" bestFit="1" customWidth="1"/>
    <col min="3586" max="3586" width="17.44140625" customWidth="1"/>
    <col min="3587" max="3591" width="17.33203125" customWidth="1"/>
    <col min="3592" max="3592" width="0.33203125" customWidth="1"/>
    <col min="3841" max="3841" width="19.44140625" bestFit="1" customWidth="1"/>
    <col min="3842" max="3842" width="17.44140625" customWidth="1"/>
    <col min="3843" max="3847" width="17.33203125" customWidth="1"/>
    <col min="3848" max="3848" width="0.33203125" customWidth="1"/>
    <col min="4097" max="4097" width="19.44140625" bestFit="1" customWidth="1"/>
    <col min="4098" max="4098" width="17.44140625" customWidth="1"/>
    <col min="4099" max="4103" width="17.33203125" customWidth="1"/>
    <col min="4104" max="4104" width="0.33203125" customWidth="1"/>
    <col min="4353" max="4353" width="19.44140625" bestFit="1" customWidth="1"/>
    <col min="4354" max="4354" width="17.44140625" customWidth="1"/>
    <col min="4355" max="4359" width="17.33203125" customWidth="1"/>
    <col min="4360" max="4360" width="0.33203125" customWidth="1"/>
    <col min="4609" max="4609" width="19.44140625" bestFit="1" customWidth="1"/>
    <col min="4610" max="4610" width="17.44140625" customWidth="1"/>
    <col min="4611" max="4615" width="17.33203125" customWidth="1"/>
    <col min="4616" max="4616" width="0.33203125" customWidth="1"/>
    <col min="4865" max="4865" width="19.44140625" bestFit="1" customWidth="1"/>
    <col min="4866" max="4866" width="17.44140625" customWidth="1"/>
    <col min="4867" max="4871" width="17.33203125" customWidth="1"/>
    <col min="4872" max="4872" width="0.33203125" customWidth="1"/>
    <col min="5121" max="5121" width="19.44140625" bestFit="1" customWidth="1"/>
    <col min="5122" max="5122" width="17.44140625" customWidth="1"/>
    <col min="5123" max="5127" width="17.33203125" customWidth="1"/>
    <col min="5128" max="5128" width="0.33203125" customWidth="1"/>
    <col min="5377" max="5377" width="19.44140625" bestFit="1" customWidth="1"/>
    <col min="5378" max="5378" width="17.44140625" customWidth="1"/>
    <col min="5379" max="5383" width="17.33203125" customWidth="1"/>
    <col min="5384" max="5384" width="0.33203125" customWidth="1"/>
    <col min="5633" max="5633" width="19.44140625" bestFit="1" customWidth="1"/>
    <col min="5634" max="5634" width="17.44140625" customWidth="1"/>
    <col min="5635" max="5639" width="17.33203125" customWidth="1"/>
    <col min="5640" max="5640" width="0.33203125" customWidth="1"/>
    <col min="5889" max="5889" width="19.44140625" bestFit="1" customWidth="1"/>
    <col min="5890" max="5890" width="17.44140625" customWidth="1"/>
    <col min="5891" max="5895" width="17.33203125" customWidth="1"/>
    <col min="5896" max="5896" width="0.33203125" customWidth="1"/>
    <col min="6145" max="6145" width="19.44140625" bestFit="1" customWidth="1"/>
    <col min="6146" max="6146" width="17.44140625" customWidth="1"/>
    <col min="6147" max="6151" width="17.33203125" customWidth="1"/>
    <col min="6152" max="6152" width="0.33203125" customWidth="1"/>
    <col min="6401" max="6401" width="19.44140625" bestFit="1" customWidth="1"/>
    <col min="6402" max="6402" width="17.44140625" customWidth="1"/>
    <col min="6403" max="6407" width="17.33203125" customWidth="1"/>
    <col min="6408" max="6408" width="0.33203125" customWidth="1"/>
    <col min="6657" max="6657" width="19.44140625" bestFit="1" customWidth="1"/>
    <col min="6658" max="6658" width="17.44140625" customWidth="1"/>
    <col min="6659" max="6663" width="17.33203125" customWidth="1"/>
    <col min="6664" max="6664" width="0.33203125" customWidth="1"/>
    <col min="6913" max="6913" width="19.44140625" bestFit="1" customWidth="1"/>
    <col min="6914" max="6914" width="17.44140625" customWidth="1"/>
    <col min="6915" max="6919" width="17.33203125" customWidth="1"/>
    <col min="6920" max="6920" width="0.33203125" customWidth="1"/>
    <col min="7169" max="7169" width="19.44140625" bestFit="1" customWidth="1"/>
    <col min="7170" max="7170" width="17.44140625" customWidth="1"/>
    <col min="7171" max="7175" width="17.33203125" customWidth="1"/>
    <col min="7176" max="7176" width="0.33203125" customWidth="1"/>
    <col min="7425" max="7425" width="19.44140625" bestFit="1" customWidth="1"/>
    <col min="7426" max="7426" width="17.44140625" customWidth="1"/>
    <col min="7427" max="7431" width="17.33203125" customWidth="1"/>
    <col min="7432" max="7432" width="0.33203125" customWidth="1"/>
    <col min="7681" max="7681" width="19.44140625" bestFit="1" customWidth="1"/>
    <col min="7682" max="7682" width="17.44140625" customWidth="1"/>
    <col min="7683" max="7687" width="17.33203125" customWidth="1"/>
    <col min="7688" max="7688" width="0.33203125" customWidth="1"/>
    <col min="7937" max="7937" width="19.44140625" bestFit="1" customWidth="1"/>
    <col min="7938" max="7938" width="17.44140625" customWidth="1"/>
    <col min="7939" max="7943" width="17.33203125" customWidth="1"/>
    <col min="7944" max="7944" width="0.33203125" customWidth="1"/>
    <col min="8193" max="8193" width="19.44140625" bestFit="1" customWidth="1"/>
    <col min="8194" max="8194" width="17.44140625" customWidth="1"/>
    <col min="8195" max="8199" width="17.33203125" customWidth="1"/>
    <col min="8200" max="8200" width="0.33203125" customWidth="1"/>
    <col min="8449" max="8449" width="19.44140625" bestFit="1" customWidth="1"/>
    <col min="8450" max="8450" width="17.44140625" customWidth="1"/>
    <col min="8451" max="8455" width="17.33203125" customWidth="1"/>
    <col min="8456" max="8456" width="0.33203125" customWidth="1"/>
    <col min="8705" max="8705" width="19.44140625" bestFit="1" customWidth="1"/>
    <col min="8706" max="8706" width="17.44140625" customWidth="1"/>
    <col min="8707" max="8711" width="17.33203125" customWidth="1"/>
    <col min="8712" max="8712" width="0.33203125" customWidth="1"/>
    <col min="8961" max="8961" width="19.44140625" bestFit="1" customWidth="1"/>
    <col min="8962" max="8962" width="17.44140625" customWidth="1"/>
    <col min="8963" max="8967" width="17.33203125" customWidth="1"/>
    <col min="8968" max="8968" width="0.33203125" customWidth="1"/>
    <col min="9217" max="9217" width="19.44140625" bestFit="1" customWidth="1"/>
    <col min="9218" max="9218" width="17.44140625" customWidth="1"/>
    <col min="9219" max="9223" width="17.33203125" customWidth="1"/>
    <col min="9224" max="9224" width="0.33203125" customWidth="1"/>
    <col min="9473" max="9473" width="19.44140625" bestFit="1" customWidth="1"/>
    <col min="9474" max="9474" width="17.44140625" customWidth="1"/>
    <col min="9475" max="9479" width="17.33203125" customWidth="1"/>
    <col min="9480" max="9480" width="0.33203125" customWidth="1"/>
    <col min="9729" max="9729" width="19.44140625" bestFit="1" customWidth="1"/>
    <col min="9730" max="9730" width="17.44140625" customWidth="1"/>
    <col min="9731" max="9735" width="17.33203125" customWidth="1"/>
    <col min="9736" max="9736" width="0.33203125" customWidth="1"/>
    <col min="9985" max="9985" width="19.44140625" bestFit="1" customWidth="1"/>
    <col min="9986" max="9986" width="17.44140625" customWidth="1"/>
    <col min="9987" max="9991" width="17.33203125" customWidth="1"/>
    <col min="9992" max="9992" width="0.33203125" customWidth="1"/>
    <col min="10241" max="10241" width="19.44140625" bestFit="1" customWidth="1"/>
    <col min="10242" max="10242" width="17.44140625" customWidth="1"/>
    <col min="10243" max="10247" width="17.33203125" customWidth="1"/>
    <col min="10248" max="10248" width="0.33203125" customWidth="1"/>
    <col min="10497" max="10497" width="19.44140625" bestFit="1" customWidth="1"/>
    <col min="10498" max="10498" width="17.44140625" customWidth="1"/>
    <col min="10499" max="10503" width="17.33203125" customWidth="1"/>
    <col min="10504" max="10504" width="0.33203125" customWidth="1"/>
    <col min="10753" max="10753" width="19.44140625" bestFit="1" customWidth="1"/>
    <col min="10754" max="10754" width="17.44140625" customWidth="1"/>
    <col min="10755" max="10759" width="17.33203125" customWidth="1"/>
    <col min="10760" max="10760" width="0.33203125" customWidth="1"/>
    <col min="11009" max="11009" width="19.44140625" bestFit="1" customWidth="1"/>
    <col min="11010" max="11010" width="17.44140625" customWidth="1"/>
    <col min="11011" max="11015" width="17.33203125" customWidth="1"/>
    <col min="11016" max="11016" width="0.33203125" customWidth="1"/>
    <col min="11265" max="11265" width="19.44140625" bestFit="1" customWidth="1"/>
    <col min="11266" max="11266" width="17.44140625" customWidth="1"/>
    <col min="11267" max="11271" width="17.33203125" customWidth="1"/>
    <col min="11272" max="11272" width="0.33203125" customWidth="1"/>
    <col min="11521" max="11521" width="19.44140625" bestFit="1" customWidth="1"/>
    <col min="11522" max="11522" width="17.44140625" customWidth="1"/>
    <col min="11523" max="11527" width="17.33203125" customWidth="1"/>
    <col min="11528" max="11528" width="0.33203125" customWidth="1"/>
    <col min="11777" max="11777" width="19.44140625" bestFit="1" customWidth="1"/>
    <col min="11778" max="11778" width="17.44140625" customWidth="1"/>
    <col min="11779" max="11783" width="17.33203125" customWidth="1"/>
    <col min="11784" max="11784" width="0.33203125" customWidth="1"/>
    <col min="12033" max="12033" width="19.44140625" bestFit="1" customWidth="1"/>
    <col min="12034" max="12034" width="17.44140625" customWidth="1"/>
    <col min="12035" max="12039" width="17.33203125" customWidth="1"/>
    <col min="12040" max="12040" width="0.33203125" customWidth="1"/>
    <col min="12289" max="12289" width="19.44140625" bestFit="1" customWidth="1"/>
    <col min="12290" max="12290" width="17.44140625" customWidth="1"/>
    <col min="12291" max="12295" width="17.33203125" customWidth="1"/>
    <col min="12296" max="12296" width="0.33203125" customWidth="1"/>
    <col min="12545" max="12545" width="19.44140625" bestFit="1" customWidth="1"/>
    <col min="12546" max="12546" width="17.44140625" customWidth="1"/>
    <col min="12547" max="12551" width="17.33203125" customWidth="1"/>
    <col min="12552" max="12552" width="0.33203125" customWidth="1"/>
    <col min="12801" max="12801" width="19.44140625" bestFit="1" customWidth="1"/>
    <col min="12802" max="12802" width="17.44140625" customWidth="1"/>
    <col min="12803" max="12807" width="17.33203125" customWidth="1"/>
    <col min="12808" max="12808" width="0.33203125" customWidth="1"/>
    <col min="13057" max="13057" width="19.44140625" bestFit="1" customWidth="1"/>
    <col min="13058" max="13058" width="17.44140625" customWidth="1"/>
    <col min="13059" max="13063" width="17.33203125" customWidth="1"/>
    <col min="13064" max="13064" width="0.33203125" customWidth="1"/>
    <col min="13313" max="13313" width="19.44140625" bestFit="1" customWidth="1"/>
    <col min="13314" max="13314" width="17.44140625" customWidth="1"/>
    <col min="13315" max="13319" width="17.33203125" customWidth="1"/>
    <col min="13320" max="13320" width="0.33203125" customWidth="1"/>
    <col min="13569" max="13569" width="19.44140625" bestFit="1" customWidth="1"/>
    <col min="13570" max="13570" width="17.44140625" customWidth="1"/>
    <col min="13571" max="13575" width="17.33203125" customWidth="1"/>
    <col min="13576" max="13576" width="0.33203125" customWidth="1"/>
    <col min="13825" max="13825" width="19.44140625" bestFit="1" customWidth="1"/>
    <col min="13826" max="13826" width="17.44140625" customWidth="1"/>
    <col min="13827" max="13831" width="17.33203125" customWidth="1"/>
    <col min="13832" max="13832" width="0.33203125" customWidth="1"/>
    <col min="14081" max="14081" width="19.44140625" bestFit="1" customWidth="1"/>
    <col min="14082" max="14082" width="17.44140625" customWidth="1"/>
    <col min="14083" max="14087" width="17.33203125" customWidth="1"/>
    <col min="14088" max="14088" width="0.33203125" customWidth="1"/>
    <col min="14337" max="14337" width="19.44140625" bestFit="1" customWidth="1"/>
    <col min="14338" max="14338" width="17.44140625" customWidth="1"/>
    <col min="14339" max="14343" width="17.33203125" customWidth="1"/>
    <col min="14344" max="14344" width="0.33203125" customWidth="1"/>
    <col min="14593" max="14593" width="19.44140625" bestFit="1" customWidth="1"/>
    <col min="14594" max="14594" width="17.44140625" customWidth="1"/>
    <col min="14595" max="14599" width="17.33203125" customWidth="1"/>
    <col min="14600" max="14600" width="0.33203125" customWidth="1"/>
    <col min="14849" max="14849" width="19.44140625" bestFit="1" customWidth="1"/>
    <col min="14850" max="14850" width="17.44140625" customWidth="1"/>
    <col min="14851" max="14855" width="17.33203125" customWidth="1"/>
    <col min="14856" max="14856" width="0.33203125" customWidth="1"/>
    <col min="15105" max="15105" width="19.44140625" bestFit="1" customWidth="1"/>
    <col min="15106" max="15106" width="17.44140625" customWidth="1"/>
    <col min="15107" max="15111" width="17.33203125" customWidth="1"/>
    <col min="15112" max="15112" width="0.33203125" customWidth="1"/>
    <col min="15361" max="15361" width="19.44140625" bestFit="1" customWidth="1"/>
    <col min="15362" max="15362" width="17.44140625" customWidth="1"/>
    <col min="15363" max="15367" width="17.33203125" customWidth="1"/>
    <col min="15368" max="15368" width="0.33203125" customWidth="1"/>
    <col min="15617" max="15617" width="19.44140625" bestFit="1" customWidth="1"/>
    <col min="15618" max="15618" width="17.44140625" customWidth="1"/>
    <col min="15619" max="15623" width="17.33203125" customWidth="1"/>
    <col min="15624" max="15624" width="0.33203125" customWidth="1"/>
    <col min="15873" max="15873" width="19.44140625" bestFit="1" customWidth="1"/>
    <col min="15874" max="15874" width="17.44140625" customWidth="1"/>
    <col min="15875" max="15879" width="17.33203125" customWidth="1"/>
    <col min="15880" max="15880" width="0.33203125" customWidth="1"/>
    <col min="16129" max="16129" width="19.44140625" bestFit="1" customWidth="1"/>
    <col min="16130" max="16130" width="17.44140625" customWidth="1"/>
    <col min="16131" max="16135" width="17.33203125" customWidth="1"/>
    <col min="16136" max="16136" width="0.33203125" customWidth="1"/>
  </cols>
  <sheetData>
    <row r="1" spans="1:8" ht="15" thickBot="1"/>
    <row r="2" spans="1:8" ht="15" thickBot="1">
      <c r="A2" s="449" t="s">
        <v>301</v>
      </c>
      <c r="B2" s="450">
        <f>+G21</f>
        <v>23549</v>
      </c>
    </row>
    <row r="6" spans="1:8" ht="32.1" customHeight="1">
      <c r="A6" s="489"/>
      <c r="B6" s="489"/>
      <c r="C6" s="489"/>
      <c r="D6" s="489"/>
      <c r="E6" s="489"/>
      <c r="F6" s="489"/>
      <c r="G6" s="490"/>
      <c r="H6" s="489"/>
    </row>
    <row r="7" spans="1:8" ht="18" customHeight="1">
      <c r="B7" s="489"/>
      <c r="C7" s="799" t="s">
        <v>340</v>
      </c>
      <c r="D7" s="799"/>
      <c r="E7" s="799"/>
      <c r="F7" s="489"/>
      <c r="G7" s="490"/>
      <c r="H7" s="489"/>
    </row>
    <row r="8" spans="1:8" ht="18" customHeight="1">
      <c r="B8" s="489"/>
      <c r="C8" s="800" t="s">
        <v>341</v>
      </c>
      <c r="D8" s="800"/>
      <c r="E8" s="800"/>
      <c r="F8" s="489"/>
      <c r="G8" s="490"/>
      <c r="H8" s="489"/>
    </row>
    <row r="9" spans="1:8" ht="18" customHeight="1">
      <c r="A9" s="793" t="s">
        <v>342</v>
      </c>
      <c r="B9" s="793"/>
      <c r="C9" s="489"/>
      <c r="D9" s="489"/>
      <c r="E9" s="489"/>
      <c r="F9" s="489"/>
      <c r="G9" s="490"/>
      <c r="H9" s="489"/>
    </row>
    <row r="10" spans="1:8" ht="18" customHeight="1">
      <c r="A10" s="491" t="s">
        <v>343</v>
      </c>
      <c r="B10" s="797" t="s">
        <v>490</v>
      </c>
      <c r="C10" s="797"/>
      <c r="D10" s="491" t="s">
        <v>344</v>
      </c>
      <c r="E10" s="797" t="s">
        <v>491</v>
      </c>
      <c r="F10" s="797"/>
      <c r="G10" s="797"/>
      <c r="H10" s="489"/>
    </row>
    <row r="11" spans="1:8" ht="18" customHeight="1">
      <c r="A11" s="491" t="s">
        <v>227</v>
      </c>
      <c r="B11" s="797" t="s">
        <v>346</v>
      </c>
      <c r="C11" s="797"/>
      <c r="D11" s="491" t="s">
        <v>229</v>
      </c>
      <c r="E11" s="797" t="s">
        <v>223</v>
      </c>
      <c r="F11" s="797"/>
      <c r="G11" s="797"/>
      <c r="H11" s="489"/>
    </row>
    <row r="12" spans="1:8" ht="18" customHeight="1">
      <c r="A12" s="491" t="s">
        <v>347</v>
      </c>
      <c r="B12" s="796" t="s">
        <v>88</v>
      </c>
      <c r="C12" s="796"/>
      <c r="D12" s="489"/>
      <c r="E12" s="489"/>
      <c r="F12" s="489"/>
      <c r="G12" s="490"/>
      <c r="H12" s="489"/>
    </row>
    <row r="13" spans="1:8" ht="18" customHeight="1">
      <c r="A13" s="491" t="s">
        <v>348</v>
      </c>
      <c r="B13" s="797"/>
      <c r="C13" s="797"/>
      <c r="D13" s="491" t="s">
        <v>349</v>
      </c>
      <c r="E13" s="797" t="s">
        <v>350</v>
      </c>
      <c r="F13" s="797"/>
      <c r="G13" s="797"/>
      <c r="H13" s="489"/>
    </row>
    <row r="14" spans="1:8" ht="18" customHeight="1">
      <c r="A14" s="491" t="s">
        <v>351</v>
      </c>
      <c r="B14" s="798" t="s">
        <v>492</v>
      </c>
      <c r="C14" s="798"/>
      <c r="D14" s="489"/>
      <c r="E14" s="489"/>
      <c r="F14" s="489"/>
      <c r="G14" s="490"/>
      <c r="H14" s="489"/>
    </row>
    <row r="15" spans="1:8" ht="18" customHeight="1">
      <c r="A15" s="793" t="s">
        <v>353</v>
      </c>
      <c r="B15" s="793"/>
      <c r="C15" s="489"/>
      <c r="D15" s="489"/>
      <c r="E15" s="489"/>
      <c r="F15" s="489"/>
      <c r="G15" s="490"/>
      <c r="H15" s="489"/>
    </row>
    <row r="16" spans="1:8" ht="18" customHeight="1">
      <c r="A16" s="491" t="s">
        <v>354</v>
      </c>
      <c r="B16" s="801">
        <v>23549</v>
      </c>
      <c r="C16" s="797"/>
      <c r="D16" s="489"/>
      <c r="E16" s="489"/>
      <c r="F16" s="489"/>
      <c r="G16" s="490"/>
      <c r="H16" s="489"/>
    </row>
    <row r="17" spans="1:8" ht="18" customHeight="1">
      <c r="A17" s="491" t="s">
        <v>355</v>
      </c>
      <c r="B17" s="801">
        <v>96458</v>
      </c>
      <c r="C17" s="797"/>
      <c r="D17" s="489"/>
      <c r="E17" s="489"/>
      <c r="F17" s="489"/>
      <c r="G17" s="490"/>
      <c r="H17" s="489"/>
    </row>
    <row r="18" spans="1:8" ht="18" customHeight="1">
      <c r="A18" s="793" t="s">
        <v>356</v>
      </c>
      <c r="B18" s="793"/>
      <c r="C18" s="489"/>
      <c r="D18" s="489"/>
      <c r="E18" s="489"/>
      <c r="F18" s="489"/>
      <c r="G18" s="490"/>
      <c r="H18" s="489"/>
    </row>
    <row r="19" spans="1:8" ht="18" customHeight="1">
      <c r="A19" s="489"/>
      <c r="B19" s="794" t="s">
        <v>357</v>
      </c>
      <c r="C19" s="794"/>
      <c r="D19" s="493" t="s">
        <v>420</v>
      </c>
      <c r="E19" s="492" t="s">
        <v>359</v>
      </c>
      <c r="F19" s="795" t="s">
        <v>360</v>
      </c>
      <c r="G19" s="795"/>
      <c r="H19" s="795"/>
    </row>
    <row r="20" spans="1:8" ht="18" customHeight="1">
      <c r="A20" s="494" t="s">
        <v>336</v>
      </c>
      <c r="B20" s="494" t="s">
        <v>334</v>
      </c>
      <c r="C20" s="494" t="s">
        <v>361</v>
      </c>
      <c r="D20" s="494" t="s">
        <v>362</v>
      </c>
      <c r="E20" s="495" t="s">
        <v>363</v>
      </c>
      <c r="F20" s="495" t="s">
        <v>364</v>
      </c>
      <c r="G20" s="496" t="s">
        <v>365</v>
      </c>
      <c r="H20" s="489"/>
    </row>
    <row r="21" spans="1:8" ht="24.9" customHeight="1">
      <c r="A21" s="497" t="s">
        <v>360</v>
      </c>
      <c r="B21" s="497" t="s">
        <v>360</v>
      </c>
      <c r="C21" s="497"/>
      <c r="D21" s="497"/>
      <c r="E21" s="497" t="s">
        <v>367</v>
      </c>
      <c r="F21" s="497">
        <v>13000</v>
      </c>
      <c r="G21" s="498">
        <f>+G22+F21</f>
        <v>23549</v>
      </c>
      <c r="H21" s="489"/>
    </row>
    <row r="22" spans="1:8" ht="24.9" customHeight="1">
      <c r="A22" s="497" t="s">
        <v>360</v>
      </c>
      <c r="B22" s="497" t="s">
        <v>360</v>
      </c>
      <c r="C22" s="497"/>
      <c r="D22" s="497"/>
      <c r="E22" s="497">
        <v>2500</v>
      </c>
      <c r="F22" s="497" t="s">
        <v>367</v>
      </c>
      <c r="G22" s="498">
        <v>10549</v>
      </c>
      <c r="H22" s="489"/>
    </row>
  </sheetData>
  <mergeCells count="17">
    <mergeCell ref="B11:C11"/>
    <mergeCell ref="E11:G11"/>
    <mergeCell ref="C7:E7"/>
    <mergeCell ref="C8:E8"/>
    <mergeCell ref="A9:B9"/>
    <mergeCell ref="B10:C10"/>
    <mergeCell ref="E10:G10"/>
    <mergeCell ref="B17:C17"/>
    <mergeCell ref="A18:B18"/>
    <mergeCell ref="B19:C19"/>
    <mergeCell ref="F19:H19"/>
    <mergeCell ref="B12:C12"/>
    <mergeCell ref="B13:C13"/>
    <mergeCell ref="E13:G13"/>
    <mergeCell ref="B14:C14"/>
    <mergeCell ref="A15:B15"/>
    <mergeCell ref="B16: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2</vt:i4>
      </vt:variant>
    </vt:vector>
  </HeadingPairs>
  <TitlesOfParts>
    <vt:vector size="50" baseType="lpstr">
      <vt:lpstr>Treasury Dashboard FNL</vt:lpstr>
      <vt:lpstr>1. Funds position</vt:lpstr>
      <vt:lpstr>2. Cash flow</vt:lpstr>
      <vt:lpstr>3. Working capital</vt:lpstr>
      <vt:lpstr>4. Loan</vt:lpstr>
      <vt:lpstr>5. Debt &amp; Equity</vt:lpstr>
      <vt:lpstr>6. Loan movement</vt:lpstr>
      <vt:lpstr>7. Cash flow unit wise detailed</vt:lpstr>
      <vt:lpstr>HSBC - CAD</vt:lpstr>
      <vt:lpstr>HSBC - USD</vt:lpstr>
      <vt:lpstr>UBS - CAD</vt:lpstr>
      <vt:lpstr>UBS - USD</vt:lpstr>
      <vt:lpstr>ZAD-0222-0168686-001-0010-000</vt:lpstr>
      <vt:lpstr>AUTO M-100002593758</vt:lpstr>
      <vt:lpstr>NFC-100000792904</vt:lpstr>
      <vt:lpstr>USB-100001870634</vt:lpstr>
      <vt:lpstr>USB-100001870621</vt:lpstr>
      <vt:lpstr>USB-100000792506</vt:lpstr>
      <vt:lpstr>ALC-100000841415</vt:lpstr>
      <vt:lpstr>ASP-100001845559</vt:lpstr>
      <vt:lpstr>AMC-100001872603</vt:lpstr>
      <vt:lpstr>AMC-100000819104</vt:lpstr>
      <vt:lpstr>QFT-100001870728</vt:lpstr>
      <vt:lpstr>QFM-1000001870702</vt:lpstr>
      <vt:lpstr>QFM-100001870618</vt:lpstr>
      <vt:lpstr>QFM-100000832880</vt:lpstr>
      <vt:lpstr>QFT-100000185812</vt:lpstr>
      <vt:lpstr>ZAD-200001066225</vt:lpstr>
      <vt:lpstr>ZAD-200000597452</vt:lpstr>
      <vt:lpstr>ZAD-1000002781078</vt:lpstr>
      <vt:lpstr>ZAD-100000484005</vt:lpstr>
      <vt:lpstr>ZAD-100000182792</vt:lpstr>
      <vt:lpstr>ZAD-0003177700001</vt:lpstr>
      <vt:lpstr>ZAD-0003177700004</vt:lpstr>
      <vt:lpstr>ZAD-11941000032</vt:lpstr>
      <vt:lpstr>ZAD-29000000712</vt:lpstr>
      <vt:lpstr>ZAD-19120001103</vt:lpstr>
      <vt:lpstr>ZAD-0111051730026</vt:lpstr>
      <vt:lpstr>QFI-100001870692</vt:lpstr>
      <vt:lpstr>QFI-100001870689</vt:lpstr>
      <vt:lpstr>QFI-100000832877</vt:lpstr>
      <vt:lpstr>QFI-100000780301</vt:lpstr>
      <vt:lpstr>UNB-100001798347</vt:lpstr>
      <vt:lpstr>ACC-100001870650</vt:lpstr>
      <vt:lpstr>ACC-100000827646</vt:lpstr>
      <vt:lpstr>ACC-100000279773</vt:lpstr>
      <vt:lpstr>ACC-100001870647</vt:lpstr>
      <vt:lpstr>GUC-100000824416</vt:lpstr>
      <vt:lpstr>'Treasury Dashboard FNL'!Print_Area</vt:lpstr>
      <vt:lpstr>'Treasury Dashboard FNL'!Print_Titles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Binas Mohd</dc:creator>
  <cp:lastModifiedBy>Amir Hashmi</cp:lastModifiedBy>
  <cp:lastPrinted>2026-08-25T05:58:09Z</cp:lastPrinted>
  <dcterms:created xsi:type="dcterms:W3CDTF">2026-08-23T07:21:05Z</dcterms:created>
  <dcterms:modified xsi:type="dcterms:W3CDTF">2026-09-03T05:58:50Z</dcterms:modified>
</cp:coreProperties>
</file>