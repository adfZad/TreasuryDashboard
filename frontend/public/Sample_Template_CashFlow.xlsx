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. Cash flo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43" formatCode="_(* #,##0.00_);_(* \(#,##0.00\);_(* &quot;-&quot;??_);_(@_)"/>
    <numFmt numFmtId="56" formatCode="&quot;上午/下午 &quot;hh&quot;時&quot;mm&quot;分&quot;ss&quot;秒 &quot;"/>
    <numFmt numFmtId="164" formatCode="_(* #,##0.000_);_(* \(#,##0.000\);_(* &quot;-&quot;??_);_(@_)"/>
    <numFmt numFmtId="165" formatCode="_(* #,##0_);_(* \(#,##0\);_(* &quot;-&quot;??_);_(@_)"/>
    <numFmt numFmtId="166" formatCode="0.0"/>
    <numFmt numFmtId="167" formatCode="_(* #,##0.0_);_(* \(#,##0.0\);_(* &quot;-&quot;??_);_(@_)"/>
    <numFmt numFmtId="168" formatCode="0.000"/>
    <numFmt numFmtId="169" formatCode="_(* #,##0.0_);_(* \(#,##0.0\);_(* &quot;-&quot;?_);_(@_)"/>
    <numFmt numFmtId="170" formatCode="_-* #,##0.00_-;\-* #,##0.00_-;_-* &quot;-&quot;??_-;_-@_-"/>
    <numFmt numFmtId="171" formatCode="dd\.mm\.yyyy;@"/>
    <numFmt numFmtId="172" formatCode="dd/mm/yyyy;@"/>
    <numFmt numFmtId="173" formatCode="000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Guideline:</v>
      </c>
    </row>
    <row r="2">
      <c r="A2" t="str">
        <v>The below information is extracted from Cash flow projection file &amp; the net amounts will be filled up in the blue colored cells.</v>
      </c>
    </row>
    <row r="3">
      <c r="A3" t="str">
        <v>Data updation timeline: Reviewed &amp; updated every working day by 9 am.</v>
      </c>
    </row>
    <row r="6">
      <c r="B6" t="str">
        <v>CASH FLOW  PROJECTION FOR THE PERIOD AUGUST 2026 TO OCTOBER 2026 EXCLUDING MURABAHA PAYMENTS</v>
      </c>
    </row>
    <row r="8">
      <c r="B8" t="str">
        <v>Month</v>
      </c>
      <c r="C8" t="str">
        <v>Cash Inflow</v>
      </c>
      <c r="D8" t="str">
        <v>Cash Outflow</v>
      </c>
      <c r="E8" t="str">
        <v>Net balance</v>
      </c>
      <c r="F8" t="str">
        <v>Surplus / (Deficit)</v>
      </c>
    </row>
    <row r="9">
      <c r="B9" t="str">
        <v>Aug</v>
      </c>
      <c r="C9">
        <v>100</v>
      </c>
      <c r="D9">
        <v>90</v>
      </c>
      <c r="E9">
        <f>'2. Cash flow'!C9-'2. Cash flow'!D9</f>
        <v>10</v>
      </c>
      <c r="F9" t="str">
        <f>+IF(E9&gt;0,"Surplus", "Deficit")</f>
        <v>Surplus</v>
      </c>
    </row>
    <row r="10">
      <c r="B10" t="str">
        <v>Sep</v>
      </c>
      <c r="C10">
        <f>+C9+20</f>
        <v>120</v>
      </c>
      <c r="D10">
        <v>120</v>
      </c>
      <c r="E10">
        <f>'2. Cash flow'!C10-'2. Cash flow'!D10</f>
        <v>0</v>
      </c>
      <c r="F10" t="str">
        <f>+IF(E10&gt;0,"Surplus", "Deficit")</f>
        <v>Deficit</v>
      </c>
    </row>
    <row r="11">
      <c r="B11" t="str">
        <v>Oct</v>
      </c>
      <c r="C11">
        <f>+C10+20</f>
        <v>140</v>
      </c>
      <c r="D11">
        <v>145</v>
      </c>
      <c r="E11">
        <f>'2. Cash flow'!C11-'2. Cash flow'!D11</f>
        <v>-5</v>
      </c>
      <c r="F11" t="str">
        <f>+IF(E11&gt;0,"Surplus", "Deficit")</f>
        <v>Deficit</v>
      </c>
    </row>
    <row r="12">
      <c r="B12" t="str">
        <v>Total</v>
      </c>
      <c r="C12">
        <f>SUM(C9:C11)</f>
        <v>360</v>
      </c>
      <c r="D12">
        <f>SUM(D9:D11)</f>
        <v>355</v>
      </c>
      <c r="E12">
        <f>SUM(E9:E11)</f>
        <v>5</v>
      </c>
    </row>
  </sheetData>
  <pageMargins left="0.7" right="0.7" top="0.75" bottom="0.75" header="0.3" footer="0.3"/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 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