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. Working capit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_(* #,##0.000_);_(* \(#,##0.0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.000"/>
    <numFmt numFmtId="169" formatCode="_(* #,##0.0_);_(* \(#,##0.0\);_(* &quot;-&quot;?_);_(@_)"/>
    <numFmt numFmtId="170" formatCode="_-* #,##0.00_-;\-* #,##0.00_-;_-* &quot;-&quot;??_-;_-@_-"/>
    <numFmt numFmtId="171" formatCode="dd\.mm\.yyyy;@"/>
    <numFmt numFmtId="172" formatCode="dd/mm/yyyy;@"/>
    <numFmt numFmtId="173" formatCode="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Data>
    <row r="1">
      <c r="A1" t="str">
        <v>Guideline:</v>
      </c>
    </row>
    <row r="2">
      <c r="A2" t="str">
        <v>The below information is extracted from Loan summary document.</v>
      </c>
    </row>
    <row r="3">
      <c r="A3" t="str">
        <v>Blue fields only to be updated</v>
      </c>
    </row>
    <row r="4">
      <c r="A4" t="str">
        <v>Data updation timeline: Murabaha utilization &amp; payments will be updated on daily basis.</v>
      </c>
    </row>
    <row r="5">
      <c r="A5" t="str">
        <v>Utilization of LC and Bonds &amp; BGs will be updated on weekly basis.</v>
      </c>
    </row>
    <row r="7">
      <c r="B7" t="str">
        <v xml:space="preserve">WORKING CAPITAL FINANCE LIMITS AND UTILISATION </v>
      </c>
    </row>
    <row r="9">
      <c r="E9" t="str">
        <v>Bonds &amp; Guarantee</v>
      </c>
      <c r="F9" t="str">
        <v>Total</v>
      </c>
      <c r="G9" t="str">
        <v>USD</v>
      </c>
    </row>
    <row r="10">
      <c r="C10" t="str">
        <v>LC</v>
      </c>
      <c r="D10" t="str">
        <v>Murabaha</v>
      </c>
      <c r="G10">
        <f>F10/3.65</f>
        <v>0</v>
      </c>
    </row>
    <row r="11">
      <c r="B11" t="str">
        <v>Sanctioned Limit</v>
      </c>
      <c r="G11">
        <f>F11/3.65</f>
        <v>0</v>
      </c>
    </row>
    <row r="12">
      <c r="B12" t="str">
        <v>DUK</v>
      </c>
      <c r="C12">
        <v>250</v>
      </c>
      <c r="D12">
        <v>10</v>
      </c>
      <c r="E12">
        <v>50</v>
      </c>
      <c r="F12">
        <f>C12+E12</f>
        <v>300</v>
      </c>
      <c r="G12">
        <f>F12/3.65</f>
        <v>82.19178082191782</v>
      </c>
    </row>
    <row r="13">
      <c r="B13" t="str">
        <v>MAI</v>
      </c>
      <c r="C13">
        <v>200</v>
      </c>
      <c r="D13">
        <v>75</v>
      </c>
      <c r="E13">
        <v>10</v>
      </c>
      <c r="F13">
        <f>C13+E13</f>
        <v>210</v>
      </c>
      <c r="G13">
        <f>F13/3.65</f>
        <v>57.534246575342465</v>
      </c>
    </row>
    <row r="14">
      <c r="B14" t="str">
        <v>UBS</v>
      </c>
      <c r="C14">
        <v>0</v>
      </c>
      <c r="D14">
        <v>15</v>
      </c>
      <c r="E14">
        <v>0</v>
      </c>
      <c r="F14">
        <f>C14+E14</f>
        <v>0</v>
      </c>
      <c r="G14">
        <f>F14/3.65</f>
        <v>0</v>
      </c>
    </row>
    <row r="15">
      <c r="B15" t="str">
        <v>QIB</v>
      </c>
      <c r="C15">
        <v>50</v>
      </c>
      <c r="D15">
        <v>30</v>
      </c>
      <c r="E15">
        <v>20</v>
      </c>
      <c r="F15">
        <f>C15+E15</f>
        <v>70</v>
      </c>
      <c r="G15">
        <f>F15/3.65</f>
        <v>19.178082191780824</v>
      </c>
    </row>
    <row r="16">
      <c r="B16" t="str">
        <v>Al Rayan</v>
      </c>
      <c r="C16">
        <v>125</v>
      </c>
      <c r="D16">
        <v>2</v>
      </c>
      <c r="E16">
        <v>10</v>
      </c>
      <c r="F16">
        <f>C16+E16</f>
        <v>135</v>
      </c>
      <c r="G16">
        <f>F16/3.65</f>
        <v>36.986301369863014</v>
      </c>
    </row>
    <row r="17">
      <c r="B17" t="str">
        <v>Total</v>
      </c>
      <c r="C17">
        <f>SUM(C12:C16)</f>
        <v>625</v>
      </c>
      <c r="D17">
        <f>SUM(D12:D16)</f>
        <v>132</v>
      </c>
      <c r="E17">
        <f>SUM(E12:E16)</f>
        <v>90</v>
      </c>
      <c r="F17">
        <f>SUM(F12:F16)</f>
        <v>715</v>
      </c>
      <c r="G17">
        <f>SUM(G12:G16)</f>
        <v>195.8904109589041</v>
      </c>
    </row>
    <row r="20">
      <c r="C20" t="str">
        <v>Working Capital Limits - Bank Wise Summary</v>
      </c>
    </row>
    <row r="21">
      <c r="D21" t="str">
        <v>LC</v>
      </c>
      <c r="E21" t="str">
        <v>Murabaha</v>
      </c>
      <c r="F21" t="str">
        <v>B&amp;G</v>
      </c>
    </row>
    <row r="22">
      <c r="C22" t="str">
        <v>QIB</v>
      </c>
      <c r="D22">
        <v>0.00004336500000394881</v>
      </c>
      <c r="E22">
        <v>0</v>
      </c>
      <c r="F22">
        <v>4</v>
      </c>
    </row>
    <row r="23">
      <c r="C23" t="str">
        <v>MAI</v>
      </c>
      <c r="D23">
        <v>0</v>
      </c>
      <c r="E23">
        <v>70</v>
      </c>
      <c r="F23">
        <v>0</v>
      </c>
    </row>
    <row r="24">
      <c r="C24" t="str">
        <v>Al Rayan</v>
      </c>
      <c r="D24">
        <v>15</v>
      </c>
      <c r="E24">
        <v>2</v>
      </c>
      <c r="F24">
        <v>2</v>
      </c>
    </row>
    <row r="25">
      <c r="C25" t="str">
        <v>Duk</v>
      </c>
      <c r="D25">
        <v>100</v>
      </c>
      <c r="E25">
        <v>10</v>
      </c>
      <c r="F25">
        <v>15</v>
      </c>
    </row>
    <row r="26">
      <c r="C26" t="str">
        <v>UBS</v>
      </c>
      <c r="D26">
        <v>0</v>
      </c>
      <c r="E26">
        <v>15</v>
      </c>
      <c r="F26">
        <v>0</v>
      </c>
    </row>
    <row r="27">
      <c r="C27" t="str">
        <v>DBQ</v>
      </c>
      <c r="D27">
        <v>0</v>
      </c>
      <c r="E27">
        <v>0</v>
      </c>
      <c r="F27">
        <v>0</v>
      </c>
    </row>
    <row r="28">
      <c r="D28">
        <f>SUM(D22:D27)</f>
        <v>115.00004336500001</v>
      </c>
      <c r="E28">
        <f>SUM(E22:E27)</f>
        <v>97</v>
      </c>
      <c r="F28">
        <f>SUM(F22:F27)</f>
        <v>21</v>
      </c>
    </row>
    <row r="30">
      <c r="A30">
        <v>1</v>
      </c>
      <c r="B30" t="str">
        <v>Working Capital Limits - Bank Wise</v>
      </c>
    </row>
    <row r="32">
      <c r="B32" t="str">
        <v>Qatar Islamic Bank</v>
      </c>
      <c r="C32" t="str">
        <v xml:space="preserve">Sanctioned </v>
      </c>
      <c r="D32" t="str">
        <v>Utilised</v>
      </c>
      <c r="E32" t="str">
        <v>Under Process</v>
      </c>
      <c r="F32" t="str">
        <v>Utilisation %</v>
      </c>
    </row>
    <row r="33">
      <c r="B33" t="str">
        <v xml:space="preserve">LC </v>
      </c>
      <c r="C33">
        <v>50</v>
      </c>
      <c r="D33">
        <f>'3. Working capital'!D22</f>
        <v>0.00004336500000394881</v>
      </c>
      <c r="E33">
        <v>0</v>
      </c>
      <c r="F33">
        <f>IFERROR(SUM(D33:E33)/C33,0)</f>
        <v>8.673000000789762e-7</v>
      </c>
    </row>
    <row r="34">
      <c r="B34" t="str">
        <v>Murabaha</v>
      </c>
      <c r="C34">
        <v>40</v>
      </c>
      <c r="D34">
        <f>'3. Working capital'!E22</f>
        <v>0</v>
      </c>
      <c r="E34">
        <v>0</v>
      </c>
      <c r="F34">
        <f>IFERROR(SUM(D34:E34)/C34,0)</f>
        <v>0</v>
      </c>
    </row>
    <row r="35">
      <c r="B35" t="str">
        <v>Bonds &amp; Guarantees</v>
      </c>
      <c r="C35">
        <v>10</v>
      </c>
      <c r="D35">
        <v>3.715586</v>
      </c>
      <c r="E35">
        <v>0</v>
      </c>
      <c r="F35">
        <f>IFERROR(SUM(D35:E35)/C35,0)</f>
        <v>0.3715586</v>
      </c>
    </row>
    <row r="36">
      <c r="B36" t="str">
        <v>Total Limit</v>
      </c>
      <c r="C36">
        <f>SUM(C34:C35)</f>
        <v>50</v>
      </c>
      <c r="D36">
        <f>SUM(D33:D35)</f>
        <v>3.715629365000004</v>
      </c>
      <c r="E36">
        <f>SUM(E33:E34)</f>
        <v>0</v>
      </c>
      <c r="F36">
        <f>IFERROR(SUM(D36:E36)/C36,0)</f>
        <v>0.07431258730000008</v>
      </c>
    </row>
    <row r="37">
      <c r="F37">
        <f>IFERROR(SUM(D37:E37)/C37,0)</f>
        <v>0</v>
      </c>
    </row>
    <row r="38">
      <c r="B38" t="str">
        <v>Mashreq Bank</v>
      </c>
      <c r="C38" t="str">
        <v xml:space="preserve">Sanctioned </v>
      </c>
      <c r="D38" t="str">
        <v>Utilised</v>
      </c>
      <c r="E38" t="str">
        <v>Under Process</v>
      </c>
      <c r="F38" t="str">
        <v>Utilisation %</v>
      </c>
    </row>
    <row r="41">
      <c r="B41" t="str">
        <v>LC</v>
      </c>
      <c r="C41">
        <f>'3. Working capital'!C13</f>
        <v>200</v>
      </c>
      <c r="D41">
        <f>'3. Working capital'!D23</f>
        <v>0</v>
      </c>
      <c r="F41">
        <f>IFERROR(SUM(D41:E41)/C41,0)</f>
        <v>0</v>
      </c>
    </row>
    <row r="42">
      <c r="B42" t="str">
        <v>Murabaha</v>
      </c>
      <c r="C42">
        <f>D13</f>
        <v>75</v>
      </c>
      <c r="D42">
        <f>'3. Working capital'!E23</f>
        <v>70</v>
      </c>
      <c r="F42">
        <f>IFERROR(SUM(D42:E42)/C42,0)</f>
        <v>0.9333333333333333</v>
      </c>
    </row>
    <row r="43">
      <c r="B43" t="str">
        <v>Bonds &amp; Guarantees</v>
      </c>
      <c r="C43">
        <f>'3. Working capital'!E13</f>
        <v>10</v>
      </c>
      <c r="D43">
        <f>'3. Working capital'!F23</f>
        <v>0</v>
      </c>
      <c r="F43">
        <f>IFERROR(SUM(D43:E43)/C43,0)</f>
        <v>0</v>
      </c>
    </row>
    <row r="44">
      <c r="B44" t="str">
        <v>Total Limit</v>
      </c>
      <c r="C44">
        <f>SUM(C42:C43)</f>
        <v>85</v>
      </c>
      <c r="D44">
        <f>SUM(D41:D43)</f>
        <v>70</v>
      </c>
      <c r="E44">
        <f>SUM(E41:E43)</f>
        <v>0</v>
      </c>
      <c r="F44">
        <f>IFERROR(SUM(D44:E44)/C44,0)</f>
        <v>0.8235294117647058</v>
      </c>
    </row>
    <row r="46">
      <c r="B46" t="str">
        <v>Al Rayan</v>
      </c>
      <c r="C46" t="str">
        <v xml:space="preserve">Sanctioned </v>
      </c>
      <c r="D46" t="str">
        <v>Utilised</v>
      </c>
      <c r="E46" t="str">
        <v>Under Process</v>
      </c>
      <c r="F46" t="str">
        <v>Utilisation %</v>
      </c>
    </row>
    <row r="47">
      <c r="B47" t="str">
        <v>LC</v>
      </c>
      <c r="C47">
        <f>'3. Working capital'!C16</f>
        <v>125</v>
      </c>
      <c r="D47">
        <f>'3. Working capital'!D24</f>
        <v>15</v>
      </c>
      <c r="F47">
        <f>IFERROR(SUM(D47:E47)/C47,0)</f>
        <v>0.12</v>
      </c>
    </row>
    <row r="48">
      <c r="B48" t="str">
        <v>Murabaha</v>
      </c>
      <c r="C48">
        <f>'3. Working capital'!C16</f>
        <v>125</v>
      </c>
      <c r="D48">
        <f>'3. Working capital'!E24</f>
        <v>2</v>
      </c>
      <c r="F48">
        <f>IFERROR(SUM(D48:E48)/C48,0)</f>
        <v>0.016</v>
      </c>
    </row>
    <row r="49">
      <c r="B49" t="str">
        <v>Bonds &amp; Guarantees</v>
      </c>
      <c r="C49">
        <f>'3. Working capital'!E15</f>
        <v>20</v>
      </c>
      <c r="D49">
        <f>'3. Working capital'!F24</f>
        <v>2</v>
      </c>
      <c r="F49">
        <f>IFERROR(SUM(D49:E49)/C49,0)</f>
        <v>0.1</v>
      </c>
    </row>
    <row r="50">
      <c r="B50" t="str">
        <v>Total Limit</v>
      </c>
      <c r="C50">
        <f>SUM(C48:C49)</f>
        <v>145</v>
      </c>
      <c r="D50">
        <f>SUM(D47:D49)</f>
        <v>19</v>
      </c>
      <c r="E50">
        <f>SUM(E47:E49)</f>
        <v>0</v>
      </c>
      <c r="F50">
        <f>IFERROR(SUM(D50:E50)/C50,0)</f>
        <v>0.1310344827586207</v>
      </c>
    </row>
    <row r="52">
      <c r="B52" t="str">
        <v>Dukhan Bank</v>
      </c>
      <c r="C52" t="str">
        <v xml:space="preserve">Sanctioned </v>
      </c>
      <c r="D52" t="str">
        <v>Utilised</v>
      </c>
      <c r="E52" t="str">
        <v>Under Process</v>
      </c>
      <c r="F52" t="str">
        <v>Utilisation %</v>
      </c>
    </row>
    <row r="54">
      <c r="B54" t="str">
        <v>LC</v>
      </c>
      <c r="C54">
        <f>'3. Working capital'!C12</f>
        <v>250</v>
      </c>
      <c r="D54">
        <f>'3. Working capital'!D25</f>
        <v>100</v>
      </c>
      <c r="F54">
        <f>IFERROR(SUM(D54:E54)/C54,0)</f>
        <v>0.4</v>
      </c>
    </row>
    <row r="55">
      <c r="B55" t="str">
        <v>Murabaha</v>
      </c>
      <c r="C55">
        <f>'3. Working capital'!D12-C56+150</f>
        <v>110</v>
      </c>
      <c r="D55">
        <f>ROUND('3. Working capital'!E25,2)</f>
        <v>10</v>
      </c>
      <c r="F55">
        <f>IFERROR(SUM(D55:E55)/C55,0)</f>
        <v>0.09090909090909091</v>
      </c>
    </row>
    <row r="56">
      <c r="B56" t="str">
        <v>Bonds &amp; Guarantees</v>
      </c>
      <c r="C56">
        <f>'3. Working capital'!E12</f>
        <v>50</v>
      </c>
      <c r="D56">
        <f>'3. Working capital'!F25</f>
        <v>15</v>
      </c>
      <c r="F56">
        <f>IFERROR(SUM(D56:E56)/C56,0)</f>
        <v>0.3</v>
      </c>
    </row>
    <row r="57">
      <c r="B57" t="str">
        <v>Total Limit</v>
      </c>
      <c r="C57">
        <f>SUM(C55:C56)</f>
        <v>160</v>
      </c>
      <c r="D57">
        <f>SUM(D54:D56)</f>
        <v>125</v>
      </c>
      <c r="E57">
        <f>SUM(E54:E56)</f>
        <v>0</v>
      </c>
      <c r="F57">
        <f>IFERROR(SUM(D57:E57)/C57,0)</f>
        <v>0.78125</v>
      </c>
    </row>
    <row r="59">
      <c r="B59" t="str">
        <v>UBS</v>
      </c>
      <c r="C59" t="str">
        <v xml:space="preserve">Sanctioned </v>
      </c>
      <c r="D59" t="str">
        <v>Utilised</v>
      </c>
      <c r="E59" t="str">
        <v>Under Process</v>
      </c>
      <c r="F59" t="str">
        <v>Utilisation %</v>
      </c>
    </row>
    <row r="60">
      <c r="B60" t="str">
        <v>LC</v>
      </c>
      <c r="C60">
        <f>+'3. Working capital'!C14</f>
        <v>0</v>
      </c>
      <c r="D60">
        <v>0</v>
      </c>
      <c r="F60">
        <f>IFERROR(SUM(D60:E60)/C60,0)</f>
        <v>0</v>
      </c>
    </row>
    <row r="61">
      <c r="B61" t="str">
        <v>Murabaha</v>
      </c>
      <c r="C61">
        <f>'3. Working capital'!D14</f>
        <v>15</v>
      </c>
      <c r="D61">
        <f>'3. Working capital'!D26+'3. Working capital'!E26</f>
        <v>15</v>
      </c>
      <c r="F61">
        <f>IFERROR(SUM(D61:E61)/C61,0)</f>
        <v>1</v>
      </c>
    </row>
    <row r="62">
      <c r="B62" t="str">
        <v>Bonds &amp; Guarantees</v>
      </c>
      <c r="C62">
        <v>0</v>
      </c>
      <c r="D62">
        <f>'3. Working capital'!F26</f>
        <v>0</v>
      </c>
      <c r="F62">
        <f>IFERROR(SUM(D62:E62)/C62,0)</f>
        <v>0</v>
      </c>
    </row>
    <row r="63">
      <c r="B63" t="str">
        <v>Total Limit</v>
      </c>
      <c r="C63">
        <f>SUM(C60:C62)</f>
        <v>15</v>
      </c>
      <c r="D63">
        <f>SUM(D60:D62)</f>
        <v>15</v>
      </c>
      <c r="E63">
        <f>SUM(E60:E62)</f>
        <v>0</v>
      </c>
      <c r="F63">
        <f>IFERROR(SUM(D63:E63)/C63,0)</f>
        <v>1</v>
      </c>
    </row>
    <row r="66">
      <c r="B66" t="str">
        <v>Total</v>
      </c>
      <c r="C66" t="str">
        <v xml:space="preserve">Sanctioned </v>
      </c>
      <c r="D66" t="str">
        <v>Utilised</v>
      </c>
      <c r="E66" t="str">
        <v>Under Process</v>
      </c>
      <c r="F66" t="str">
        <v>Utilisation %</v>
      </c>
    </row>
    <row r="67">
      <c r="B67" t="str">
        <v>LC</v>
      </c>
      <c r="C67">
        <f>C60+C54+C47+C41+C33</f>
        <v>625</v>
      </c>
      <c r="D67">
        <f>D60+D54+D47+D41+D33</f>
        <v>115.00004336500001</v>
      </c>
      <c r="E67">
        <f>E60+E54+E47+E41+E33</f>
        <v>0</v>
      </c>
      <c r="F67">
        <f>IFERROR(SUM(D67:E67)/C67,0)</f>
        <v>0.18400006938400001</v>
      </c>
    </row>
    <row r="68">
      <c r="B68" t="str">
        <v>Murabaha</v>
      </c>
      <c r="C68">
        <f>C61+C55+C48+C42+C34</f>
        <v>365</v>
      </c>
      <c r="D68">
        <f>D61+D55+D48+D42+D34</f>
        <v>97</v>
      </c>
    </row>
    <row r="69">
      <c r="B69" t="str">
        <v>Bonds &amp; Guarantees</v>
      </c>
      <c r="C69">
        <f>C62+C56+C49+C43+C35</f>
        <v>90</v>
      </c>
      <c r="D69">
        <f>D62+D56+D49+D43+D35</f>
        <v>20.715586000000002</v>
      </c>
      <c r="E69">
        <f>E62+E56+E49+E43+E34</f>
        <v>0</v>
      </c>
      <c r="F69">
        <f>IFERROR(SUM(D69:E69)/C69,0)</f>
        <v>0.2301731777777778</v>
      </c>
    </row>
    <row r="70">
      <c r="B70" t="str">
        <v>Total Limit</v>
      </c>
      <c r="C70">
        <f>SUM(C68:C69)</f>
        <v>455</v>
      </c>
      <c r="D70">
        <f>SUM(D67:D69)</f>
        <v>232.715629365</v>
      </c>
      <c r="E70">
        <f>SUM(E67:E69)</f>
        <v>0</v>
      </c>
      <c r="F70">
        <f>IFERROR(D70/C70,0)</f>
        <v>0.5114629216813187</v>
      </c>
    </row>
    <row r="73">
      <c r="A73">
        <v>2</v>
      </c>
      <c r="B73" t="str">
        <v>WC Limits - Bank Wise</v>
      </c>
    </row>
    <row r="74">
      <c r="B74" t="str">
        <v>Bank</v>
      </c>
      <c r="C74" t="str">
        <v>LC</v>
      </c>
      <c r="D74" t="str">
        <v>Murabaha</v>
      </c>
      <c r="E74" t="str">
        <v>B&amp;G</v>
      </c>
    </row>
    <row r="75">
      <c r="B75" t="str">
        <v>QIB</v>
      </c>
      <c r="C75">
        <f>'3. Working capital'!D22</f>
        <v>0.00004336500000394881</v>
      </c>
      <c r="D75">
        <f>'3. Working capital'!E22</f>
        <v>0</v>
      </c>
      <c r="E75">
        <f>'3. Working capital'!F22</f>
        <v>4</v>
      </c>
    </row>
    <row r="76">
      <c r="B76" t="str">
        <v>Mashreq</v>
      </c>
      <c r="C76">
        <f>'3. Working capital'!D23</f>
        <v>0</v>
      </c>
      <c r="D76">
        <f>'3. Working capital'!E23</f>
        <v>70</v>
      </c>
      <c r="E76">
        <f>'3. Working capital'!F23</f>
        <v>0</v>
      </c>
    </row>
    <row r="77">
      <c r="B77" t="str">
        <v>Al Rayan</v>
      </c>
      <c r="C77">
        <f>'3. Working capital'!D24</f>
        <v>15</v>
      </c>
      <c r="D77">
        <f>'3. Working capital'!E24</f>
        <v>2</v>
      </c>
      <c r="E77">
        <f>'3. Working capital'!F24</f>
        <v>2</v>
      </c>
    </row>
    <row r="78">
      <c r="B78" t="str">
        <v>Dukhan</v>
      </c>
      <c r="C78">
        <f>'3. Working capital'!D25</f>
        <v>100</v>
      </c>
      <c r="D78">
        <f>'3. Working capital'!E25</f>
        <v>10</v>
      </c>
      <c r="E78">
        <f>'3. Working capital'!F25</f>
        <v>15</v>
      </c>
    </row>
    <row r="79">
      <c r="B79" t="str">
        <v>UBS</v>
      </c>
      <c r="C79">
        <f>'3. Working capital'!D26</f>
        <v>0</v>
      </c>
      <c r="D79">
        <f>'3. Working capital'!E26</f>
        <v>15</v>
      </c>
      <c r="E79">
        <f>'3. Working capital'!F26</f>
        <v>0</v>
      </c>
    </row>
    <row r="80">
      <c r="B80" t="str">
        <v>Total</v>
      </c>
      <c r="C80">
        <f>SUM(C75:C79)</f>
        <v>115.00004336500001</v>
      </c>
      <c r="D80">
        <f>SUM(D75:D79)</f>
        <v>97</v>
      </c>
      <c r="E80">
        <f>SUM(E75:E79)</f>
        <v>21</v>
      </c>
    </row>
    <row r="83">
      <c r="A83">
        <v>3</v>
      </c>
      <c r="B83" t="str">
        <v>REGION WISE FACILITY UTILISATION SUMMARY</v>
      </c>
    </row>
    <row r="84">
      <c r="B84" t="str">
        <v>Qatar</v>
      </c>
      <c r="C84" t="str">
        <v>Sanctioned</v>
      </c>
      <c r="D84" t="str">
        <v>Utilised</v>
      </c>
    </row>
    <row r="85">
      <c r="B85" t="str">
        <v>LC</v>
      </c>
      <c r="C85">
        <f>SUM('3. Working capital'!C33+'3. Working capital'!C47+'3. Working capital'!C54)</f>
        <v>425</v>
      </c>
      <c r="D85">
        <f>SUM(C105)</f>
        <v>115.00004336500001</v>
      </c>
    </row>
    <row r="86">
      <c r="B86" t="str">
        <v>Murabaha</v>
      </c>
      <c r="C86">
        <f>SUM('3. Working capital'!C34+'3. Working capital'!C48+'3. Working capital'!C55)</f>
        <v>275</v>
      </c>
      <c r="D86">
        <f>D105</f>
        <v>12</v>
      </c>
    </row>
    <row r="87">
      <c r="B87" t="str">
        <v>Bonds &amp; Guarantee</v>
      </c>
      <c r="C87">
        <f>SUM('3. Working capital'!C35+'3. Working capital'!C49+'3. Working capital'!C56)</f>
        <v>80</v>
      </c>
      <c r="D87">
        <f>E105</f>
        <v>21</v>
      </c>
    </row>
    <row r="88">
      <c r="B88" t="str">
        <v>Total</v>
      </c>
      <c r="C88">
        <f>SUM(C86:C87)</f>
        <v>355</v>
      </c>
      <c r="D88">
        <f>SUM(D85:D87)</f>
        <v>148.000043365</v>
      </c>
    </row>
    <row r="90">
      <c r="B90" t="str">
        <v>Switzerland</v>
      </c>
      <c r="C90" t="str">
        <v>Sanctioned</v>
      </c>
      <c r="D90" t="str">
        <v>Utilised</v>
      </c>
    </row>
    <row r="91">
      <c r="B91" t="str">
        <v>LC</v>
      </c>
      <c r="C91">
        <f>'3. Working capital'!C60</f>
        <v>0</v>
      </c>
      <c r="D91">
        <v>0</v>
      </c>
    </row>
    <row r="92">
      <c r="B92" t="str">
        <v>Murabaha</v>
      </c>
      <c r="C92">
        <f>'3. Working capital'!C61</f>
        <v>15</v>
      </c>
      <c r="D92">
        <f>+D107</f>
        <v>15</v>
      </c>
    </row>
    <row r="93">
      <c r="B93" t="str">
        <v>Bonds &amp; Guarantee</v>
      </c>
      <c r="C93">
        <f>'3. Working capital'!C62</f>
        <v>0</v>
      </c>
      <c r="D93">
        <f>H106</f>
        <v>0</v>
      </c>
    </row>
    <row r="94">
      <c r="B94" t="str">
        <v>Total</v>
      </c>
      <c r="C94">
        <f>SUM(C91:C93)</f>
        <v>15</v>
      </c>
      <c r="D94">
        <f>SUM(D91:D93)</f>
        <v>15</v>
      </c>
    </row>
    <row r="96">
      <c r="B96" t="str">
        <v>U.A.E</v>
      </c>
      <c r="C96" t="str">
        <v>Sanctioned</v>
      </c>
      <c r="D96" t="str">
        <v>Utilised</v>
      </c>
    </row>
    <row r="97">
      <c r="B97" t="str">
        <v>LC</v>
      </c>
      <c r="C97">
        <f>'3. Working capital'!C41</f>
        <v>200</v>
      </c>
      <c r="D97">
        <f>C107</f>
        <v>0</v>
      </c>
    </row>
    <row r="98">
      <c r="B98" t="str">
        <v>Murabaha</v>
      </c>
      <c r="C98">
        <f>'3. Working capital'!C42</f>
        <v>75</v>
      </c>
      <c r="D98">
        <f>D106</f>
        <v>70</v>
      </c>
    </row>
    <row r="99">
      <c r="B99" t="str">
        <v>Bonds &amp; Guarantee</v>
      </c>
      <c r="C99">
        <f>'3. Working capital'!C43</f>
        <v>10</v>
      </c>
      <c r="D99">
        <f>E107</f>
        <v>0</v>
      </c>
    </row>
    <row r="100">
      <c r="B100" t="str">
        <v>Total</v>
      </c>
      <c r="C100">
        <f>SUM(C98:C99)</f>
        <v>85</v>
      </c>
      <c r="D100">
        <f>SUM(D97:D99)</f>
        <v>70</v>
      </c>
    </row>
    <row r="103">
      <c r="B103" t="str">
        <v xml:space="preserve">WC Limits Utilisation - Country Wise </v>
      </c>
    </row>
    <row r="104">
      <c r="B104" t="str">
        <v>Country</v>
      </c>
      <c r="C104" t="str">
        <v>LC</v>
      </c>
      <c r="D104" t="str">
        <v>Murabaha</v>
      </c>
      <c r="E104" t="str">
        <v>B&amp;G</v>
      </c>
    </row>
    <row r="105">
      <c r="B105" t="str">
        <v>Qatar</v>
      </c>
      <c r="C105">
        <f>'3. Working capital'!D22+'3. Working capital'!D24+'3. Working capital'!D25+'3. Working capital'!D27</f>
        <v>115.00004336500001</v>
      </c>
      <c r="D105">
        <f>'3. Working capital'!E22+'3. Working capital'!E24+'3. Working capital'!E25+'3. Working capital'!E27</f>
        <v>12</v>
      </c>
      <c r="E105">
        <f>'3. Working capital'!F22+'3. Working capital'!F24+'3. Working capital'!F25+'3. Working capital'!F27</f>
        <v>21</v>
      </c>
    </row>
    <row r="106">
      <c r="B106" t="str">
        <v>Dubai</v>
      </c>
      <c r="C106">
        <f>'3. Working capital'!D26</f>
        <v>0</v>
      </c>
      <c r="D106">
        <f>'3. Working capital'!E23</f>
        <v>70</v>
      </c>
      <c r="E106">
        <f>'3. Working capital'!F23</f>
        <v>0</v>
      </c>
    </row>
    <row r="107">
      <c r="B107" t="str">
        <v>Switzerland</v>
      </c>
      <c r="C107">
        <f>'3. Working capital'!D23</f>
        <v>0</v>
      </c>
      <c r="D107">
        <f>'3. Working capital'!E26</f>
        <v>15</v>
      </c>
      <c r="E107">
        <f>'3. Working capital'!F26</f>
        <v>0</v>
      </c>
    </row>
    <row r="108">
      <c r="B108" t="str">
        <v>Total</v>
      </c>
      <c r="C108">
        <f>SUM(C105:C107)</f>
        <v>115.00004336500001</v>
      </c>
      <c r="D108">
        <f>SUM(D105:D107)</f>
        <v>97</v>
      </c>
      <c r="E108">
        <f>SUM(E105:E107)</f>
        <v>21</v>
      </c>
    </row>
    <row r="110">
      <c r="B110" t="str">
        <v>Country Wise WC Utilisation</v>
      </c>
    </row>
    <row r="111">
      <c r="B111" t="str">
        <v>Bank</v>
      </c>
      <c r="C111" t="str">
        <v>LC</v>
      </c>
      <c r="D111" t="str">
        <v>Murabaha</v>
      </c>
      <c r="E111" t="str">
        <v>B&amp;G</v>
      </c>
    </row>
    <row r="112">
      <c r="B112" t="str">
        <v>Qatar</v>
      </c>
      <c r="C112">
        <f>C80-C76-C79</f>
        <v>115.00004336500001</v>
      </c>
      <c r="D112">
        <f>D80-D76-D79</f>
        <v>12</v>
      </c>
      <c r="E112">
        <f>E80-E76-E79</f>
        <v>21</v>
      </c>
    </row>
    <row r="113">
      <c r="B113" t="str">
        <v>U.A.E</v>
      </c>
      <c r="C113">
        <f>C76</f>
        <v>0</v>
      </c>
      <c r="D113">
        <f>'3. Working capital'!D98</f>
        <v>70</v>
      </c>
      <c r="E113">
        <f>E76</f>
        <v>0</v>
      </c>
    </row>
    <row r="114">
      <c r="B114" t="str">
        <v>Switzerland</v>
      </c>
      <c r="C114">
        <f>C79</f>
        <v>0</v>
      </c>
      <c r="D114">
        <f>D79</f>
        <v>15</v>
      </c>
      <c r="E114">
        <f>E79</f>
        <v>0</v>
      </c>
    </row>
    <row r="115">
      <c r="B115" t="str">
        <v>Total</v>
      </c>
      <c r="C115">
        <f>SUM(C112:C114)</f>
        <v>115.00004336500001</v>
      </c>
      <c r="D115">
        <f>SUM(D112:D114)</f>
        <v>97</v>
      </c>
      <c r="E115">
        <f>SUM(E112:E114)</f>
        <v>21</v>
      </c>
    </row>
  </sheetData>
  <mergeCells count="3">
    <mergeCell ref="B73:E73"/>
    <mergeCell ref="B103:E103"/>
    <mergeCell ref="B110:E110"/>
  </mergeCells>
  <pageMargins left="0.7" right="0.7" top="0.75" bottom="0.75" header="0.3" footer="0.3"/>
  <ignoredErrors>
    <ignoredError numberStoredAsText="1" sqref="A1:H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Working capital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