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Funds 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_(* #,##0.000_);_(* \(#,##0.0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.000"/>
    <numFmt numFmtId="169" formatCode="_(* #,##0.0_);_(* \(#,##0.0\);_(* &quot;-&quot;?_);_(@_)"/>
    <numFmt numFmtId="170" formatCode="_-* #,##0.00_-;\-* #,##0.00_-;_-* &quot;-&quot;??_-;_-@_-"/>
    <numFmt numFmtId="171" formatCode="dd\.mm\.yyyy;@"/>
    <numFmt numFmtId="172" formatCode="dd/mm/yyyy;@"/>
    <numFmt numFmtId="173" formatCode="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Data>
    <row r="1">
      <c r="A1" t="str">
        <v>Guideline:</v>
      </c>
    </row>
    <row r="2">
      <c r="A2" t="str">
        <v>The below information is extracted from Bank statements. &amp; filled up in the blue colored cells.</v>
      </c>
    </row>
    <row r="3">
      <c r="A3" t="str">
        <v>Data updation timeline: Previous day bank statement data updated every working day by 9 am.</v>
      </c>
    </row>
    <row r="7">
      <c r="B7" t="str">
        <v xml:space="preserve">FUNDS POSITION </v>
      </c>
    </row>
    <row r="9">
      <c r="A9" t="str">
        <f>B9</f>
        <v xml:space="preserve">Doha Bank </v>
      </c>
      <c r="B9" t="str">
        <v xml:space="preserve">Doha Bank </v>
      </c>
    </row>
    <row r="10">
      <c r="A10" t="str">
        <f>A9</f>
        <v xml:space="preserve">Doha Bank </v>
      </c>
      <c r="B10" t="str">
        <v>ZAD</v>
      </c>
      <c r="C10" t="str">
        <v>0222-0168686-001-0010-000</v>
      </c>
      <c r="D10" t="str">
        <v>CUR Current</v>
      </c>
      <c r="F10" t="str">
        <v>QAR</v>
      </c>
      <c r="G10">
        <f>+'ZAD-0222-0168686-001-0010-000'!B2</f>
        <v>2877749</v>
      </c>
    </row>
    <row r="12">
      <c r="A12" t="str">
        <v xml:space="preserve">Dukhan Bank </v>
      </c>
      <c r="B12" t="str">
        <v xml:space="preserve">Dukhan Bank </v>
      </c>
    </row>
    <row r="13">
      <c r="A13" t="str">
        <v xml:space="preserve">Dukhan Bank </v>
      </c>
      <c r="B13" t="str">
        <v>Company Name</v>
      </c>
      <c r="C13" t="str">
        <v>Account No</v>
      </c>
      <c r="D13" t="str">
        <v>Account Type</v>
      </c>
      <c r="E13" t="str">
        <v>Branch Name</v>
      </c>
      <c r="F13" t="str">
        <v>Currency</v>
      </c>
      <c r="G13" t="str">
        <v>Amount</v>
      </c>
    </row>
    <row r="14">
      <c r="A14" t="str">
        <v xml:space="preserve">Dukhan Bank </v>
      </c>
      <c r="B14" t="str">
        <v>ASP</v>
      </c>
      <c r="C14">
        <v>100001845559</v>
      </c>
      <c r="D14" t="str">
        <v>CUR Current</v>
      </c>
      <c r="E14" t="str">
        <v>MAIN BRANCH</v>
      </c>
      <c r="F14" t="str">
        <v>QAR</v>
      </c>
      <c r="G14">
        <f>+'ASP-100001845559'!B2</f>
        <v>26451</v>
      </c>
    </row>
    <row r="15">
      <c r="A15" t="str">
        <v xml:space="preserve">Dukhan Bank </v>
      </c>
      <c r="B15" t="str">
        <v>ACC</v>
      </c>
      <c r="C15">
        <v>100000279773</v>
      </c>
      <c r="D15" t="str">
        <v>CUR Current</v>
      </c>
      <c r="E15" t="str">
        <v>MAIN BRANCH</v>
      </c>
      <c r="F15" t="str">
        <v>QAR</v>
      </c>
      <c r="G15">
        <f>+'ACC-100000279773'!B2</f>
        <v>16031</v>
      </c>
    </row>
    <row r="16">
      <c r="A16" t="str">
        <v xml:space="preserve">Dukhan Bank </v>
      </c>
      <c r="B16" t="str">
        <v>ACC</v>
      </c>
      <c r="C16">
        <v>100000827646</v>
      </c>
      <c r="D16" t="str">
        <v>CUR Current</v>
      </c>
      <c r="E16" t="str">
        <v>MAIN BRANCH</v>
      </c>
      <c r="F16" t="str">
        <v>QAR</v>
      </c>
      <c r="G16">
        <f>+'ACC-100000827646'!B2</f>
        <v>6484</v>
      </c>
    </row>
    <row r="17">
      <c r="A17" t="str">
        <v xml:space="preserve">Dukhan Bank </v>
      </c>
      <c r="B17" t="str">
        <v>ALC</v>
      </c>
      <c r="C17">
        <v>100000841415</v>
      </c>
      <c r="D17" t="str">
        <v>CUR Current</v>
      </c>
      <c r="E17" t="str">
        <v>MAIN BRANCH</v>
      </c>
      <c r="F17" t="str">
        <v>QAR</v>
      </c>
      <c r="G17">
        <f>+'ALC-100000841415'!B2</f>
        <v>51254</v>
      </c>
    </row>
    <row r="18">
      <c r="A18" t="str">
        <v xml:space="preserve">Dukhan Bank </v>
      </c>
      <c r="B18" t="str">
        <v>ARZAK</v>
      </c>
      <c r="C18">
        <v>100000819104</v>
      </c>
      <c r="D18" t="str">
        <v>CUR Current</v>
      </c>
      <c r="E18" t="str">
        <v>MAIN BRANCH</v>
      </c>
      <c r="F18" t="str">
        <v>QAR</v>
      </c>
      <c r="G18">
        <f>+'AMC-100000819104'!B2</f>
        <v>16388</v>
      </c>
    </row>
    <row r="19">
      <c r="A19" t="str">
        <v xml:space="preserve">Dukhan Bank </v>
      </c>
      <c r="B19" t="str">
        <v>GUC</v>
      </c>
      <c r="C19">
        <v>100000824416</v>
      </c>
      <c r="D19" t="str">
        <v>CUR Current</v>
      </c>
      <c r="E19" t="str">
        <v>MAIN BRANCH</v>
      </c>
      <c r="F19" t="str">
        <v>QAR</v>
      </c>
      <c r="G19">
        <f>+'GUC-100000824416'!B2</f>
        <v>23549</v>
      </c>
    </row>
    <row r="20">
      <c r="A20" t="str">
        <v xml:space="preserve">Dukhan Bank </v>
      </c>
      <c r="B20" t="str">
        <v>NFC</v>
      </c>
      <c r="C20">
        <v>100000792904</v>
      </c>
      <c r="D20" t="str">
        <v>CUR Current</v>
      </c>
      <c r="E20" t="str">
        <v>MAIN BRANCH</v>
      </c>
      <c r="F20" t="str">
        <v>QAR</v>
      </c>
      <c r="G20">
        <f>+'NFC-100000792904'!B2</f>
        <v>31880</v>
      </c>
    </row>
    <row r="21">
      <c r="A21" t="str">
        <v xml:space="preserve">Dukhan Bank </v>
      </c>
      <c r="B21" t="str">
        <v>QFT</v>
      </c>
      <c r="C21">
        <v>100000185812</v>
      </c>
      <c r="D21" t="str">
        <v>CUR Current</v>
      </c>
      <c r="E21" t="str">
        <v>MAIN BRANCH</v>
      </c>
      <c r="F21" t="str">
        <v>QAR</v>
      </c>
      <c r="G21">
        <f>+'QFT-100000185812'!B2</f>
        <v>8051</v>
      </c>
    </row>
    <row r="22">
      <c r="A22" t="str">
        <v xml:space="preserve">Dukhan Bank </v>
      </c>
      <c r="B22" t="str">
        <v>QFM</v>
      </c>
      <c r="C22">
        <v>100000832880</v>
      </c>
      <c r="D22" t="str">
        <v>CUR Current</v>
      </c>
      <c r="E22" t="str">
        <v>MAIN BRANCH</v>
      </c>
      <c r="F22" t="str">
        <v>QAR</v>
      </c>
      <c r="G22">
        <f>+'QFM-100000832880'!B2</f>
        <v>25182</v>
      </c>
    </row>
    <row r="23">
      <c r="A23" t="str">
        <v xml:space="preserve">Dukhan Bank </v>
      </c>
      <c r="B23" t="str">
        <v>QFI</v>
      </c>
      <c r="C23">
        <v>100000780301</v>
      </c>
      <c r="D23" t="str">
        <v>CUR Current</v>
      </c>
      <c r="E23" t="str">
        <v>MAIN BRANCH</v>
      </c>
      <c r="F23" t="str">
        <v>QAR</v>
      </c>
      <c r="G23">
        <f>+'QFI-100000780301'!B2</f>
        <v>90531</v>
      </c>
    </row>
    <row r="24">
      <c r="A24" t="str">
        <v xml:space="preserve">Dukhan Bank </v>
      </c>
      <c r="B24" t="str">
        <v>QFI</v>
      </c>
      <c r="C24">
        <v>100000832877</v>
      </c>
      <c r="D24" t="str">
        <v>CUR Current</v>
      </c>
      <c r="E24" t="str">
        <v>MAIN BRANCH</v>
      </c>
      <c r="F24" t="str">
        <v>QAR</v>
      </c>
      <c r="G24">
        <f>+'QFI-100000832877'!B2</f>
        <v>45854</v>
      </c>
    </row>
    <row r="25">
      <c r="A25" t="str">
        <v xml:space="preserve">Dukhan Bank </v>
      </c>
      <c r="B25" t="str">
        <v>USB</v>
      </c>
      <c r="C25">
        <v>100000792506</v>
      </c>
      <c r="D25" t="str">
        <v>CUR Current</v>
      </c>
      <c r="E25" t="str">
        <v>MAIN BRANCH</v>
      </c>
      <c r="F25" t="str">
        <v>QAR</v>
      </c>
      <c r="G25">
        <f>+'USB-100000792506'!B2</f>
        <v>60221.27</v>
      </c>
    </row>
    <row r="26">
      <c r="A26" t="str">
        <v xml:space="preserve">Dukhan Bank </v>
      </c>
      <c r="B26" t="str">
        <v>UNB</v>
      </c>
      <c r="C26">
        <v>100001798347</v>
      </c>
      <c r="D26" t="str">
        <v>CUR Current</v>
      </c>
      <c r="E26" t="str">
        <v>MAIN BRANCH</v>
      </c>
      <c r="F26" t="str">
        <v>QAR</v>
      </c>
      <c r="G26">
        <f>+'UNB-100001798347'!B2</f>
        <v>73391</v>
      </c>
    </row>
    <row r="27">
      <c r="A27" t="str">
        <v xml:space="preserve">Dukhan Bank </v>
      </c>
      <c r="B27" t="str">
        <v>UNB</v>
      </c>
      <c r="C27">
        <v>100001833574</v>
      </c>
      <c r="D27" t="str">
        <v>CUR Current</v>
      </c>
      <c r="E27" t="str">
        <v>MAIN BRANCH</v>
      </c>
      <c r="F27" t="str">
        <v>QAR</v>
      </c>
      <c r="G27">
        <v>50000</v>
      </c>
      <c r="H27" t="str">
        <v>NO TRANSACTION FROM FEB-2026</v>
      </c>
    </row>
    <row r="28">
      <c r="A28" t="str">
        <v xml:space="preserve">Dukhan Bank </v>
      </c>
      <c r="B28" t="str">
        <v>AUTO MEDIA</v>
      </c>
      <c r="C28" t="str">
        <v>100002593758</v>
      </c>
      <c r="D28" t="str">
        <v>CUR Current</v>
      </c>
      <c r="E28" t="str">
        <v>MAIN BRANCH</v>
      </c>
      <c r="F28" t="str">
        <v>QAR</v>
      </c>
      <c r="G28">
        <f>+'AUTO M-100002593758'!B2</f>
        <v>20100</v>
      </c>
    </row>
    <row r="29">
      <c r="A29" t="str">
        <v xml:space="preserve">Dukhan Bank </v>
      </c>
      <c r="B29" t="str">
        <v>ZAD</v>
      </c>
      <c r="C29">
        <v>100000182792</v>
      </c>
      <c r="D29" t="str">
        <v>CUR Current</v>
      </c>
      <c r="E29" t="str">
        <v>MAIN BRANCH</v>
      </c>
      <c r="F29" t="str">
        <v>QAR</v>
      </c>
      <c r="G29">
        <f>+'ZAD-100000182792'!B2</f>
        <v>58917</v>
      </c>
    </row>
    <row r="30">
      <c r="A30" t="str">
        <v xml:space="preserve">Dukhan Bank </v>
      </c>
      <c r="B30" t="str">
        <v>ZAD</v>
      </c>
      <c r="C30">
        <v>100000763315</v>
      </c>
      <c r="D30" t="str">
        <v>CMG CASH MARGIN</v>
      </c>
      <c r="E30" t="str">
        <v>MAIN BRANCH</v>
      </c>
      <c r="F30" t="str">
        <v>QAR</v>
      </c>
      <c r="G30">
        <v>180000</v>
      </c>
      <c r="H30" t="str">
        <v>NO TRANSACTION FROM FEB-2026</v>
      </c>
    </row>
    <row r="31">
      <c r="A31" t="str">
        <v xml:space="preserve">Dukhan Bank </v>
      </c>
      <c r="B31" t="str">
        <v>ZAD CALL ACCOUNT</v>
      </c>
      <c r="C31">
        <v>200001066225</v>
      </c>
      <c r="D31" t="str">
        <v>CALL ACCOUNT</v>
      </c>
      <c r="E31" t="str">
        <v>MAIN BRANCH</v>
      </c>
      <c r="F31" t="str">
        <v>QAR</v>
      </c>
      <c r="G31">
        <f>+'ZAD-200001066225'!B2</f>
        <v>31866</v>
      </c>
    </row>
    <row r="32">
      <c r="A32" t="str">
        <v xml:space="preserve">Dukhan Bank </v>
      </c>
      <c r="B32" t="str">
        <v>ZAD</v>
      </c>
      <c r="C32">
        <v>200000597452</v>
      </c>
      <c r="D32" t="str">
        <v>CASHLINE</v>
      </c>
      <c r="E32" t="str">
        <v>MAIN BRANCH</v>
      </c>
      <c r="F32" t="str">
        <v>QAR</v>
      </c>
      <c r="G32">
        <f>+'ZAD-200000597452'!B2</f>
        <v>261842</v>
      </c>
    </row>
    <row r="34">
      <c r="A34" t="str">
        <v>QIB</v>
      </c>
      <c r="B34" t="str">
        <v>ZAD</v>
      </c>
      <c r="C34" t="str">
        <v>0111051730026</v>
      </c>
      <c r="G34">
        <f>+'ZAD-0111051730026'!B2</f>
        <v>34557</v>
      </c>
    </row>
    <row r="36">
      <c r="A36" t="str">
        <v>Al Rayan</v>
      </c>
      <c r="B36" t="str">
        <v>ZAD</v>
      </c>
      <c r="C36" t="str">
        <v>0003177700001</v>
      </c>
      <c r="D36" t="str">
        <v>Currrent</v>
      </c>
      <c r="F36" t="str">
        <v>QAR</v>
      </c>
      <c r="G36">
        <f>+'ZAD-0003177700001'!B2</f>
        <v>408426</v>
      </c>
    </row>
    <row r="37">
      <c r="A37" t="str">
        <v>Al Rayan</v>
      </c>
      <c r="B37" t="str">
        <v>ACC</v>
      </c>
      <c r="C37" t="str">
        <v>0003-104174-001</v>
      </c>
      <c r="D37" t="str">
        <v>Currrent</v>
      </c>
      <c r="F37" t="str">
        <v>QAR</v>
      </c>
      <c r="G37">
        <v>20000</v>
      </c>
    </row>
    <row r="39">
      <c r="A39" t="str">
        <v>Mashreq</v>
      </c>
      <c r="B39" t="str">
        <v>Mashreq</v>
      </c>
    </row>
    <row r="40">
      <c r="A40" t="str">
        <v>Mashreq</v>
      </c>
      <c r="B40" t="str">
        <v>GUC</v>
      </c>
      <c r="C40">
        <v>20490009938</v>
      </c>
      <c r="F40" t="str">
        <v>QAR</v>
      </c>
      <c r="G40">
        <v>10000</v>
      </c>
    </row>
    <row r="41">
      <c r="A41" t="str">
        <v>Mashreq</v>
      </c>
      <c r="B41" t="str">
        <v>ZAD</v>
      </c>
      <c r="C41">
        <v>29000000712</v>
      </c>
      <c r="F41" t="str">
        <v>QAR</v>
      </c>
      <c r="G41">
        <f>+'ZAD-29000000712'!B2</f>
        <v>9845</v>
      </c>
    </row>
    <row r="42">
      <c r="A42" t="str">
        <v>Mashreq</v>
      </c>
      <c r="B42" t="str">
        <v>ZAD</v>
      </c>
      <c r="C42">
        <v>11941000032</v>
      </c>
      <c r="F42" t="str">
        <v>QAR</v>
      </c>
      <c r="G42">
        <f>+'ZAD-11941000032'!B2</f>
        <v>638733</v>
      </c>
    </row>
    <row r="44">
      <c r="A44" t="str">
        <v xml:space="preserve">Dukhan Bank </v>
      </c>
      <c r="B44" t="str">
        <v>ARZAK</v>
      </c>
      <c r="C44">
        <v>100001872603</v>
      </c>
      <c r="D44" t="str">
        <v>USD</v>
      </c>
      <c r="E44">
        <f>+'AMC-100001872603'!B2</f>
        <v>14215</v>
      </c>
      <c r="F44">
        <v>3.65</v>
      </c>
      <c r="G44">
        <f>E44*F44</f>
        <v>51884.75</v>
      </c>
    </row>
    <row r="45">
      <c r="A45" t="str">
        <v xml:space="preserve">Dukhan Bank </v>
      </c>
      <c r="B45" t="str">
        <v>ACC</v>
      </c>
      <c r="C45">
        <v>100001870650</v>
      </c>
      <c r="D45" t="str">
        <v>USD</v>
      </c>
      <c r="E45">
        <f>+'ACC-100001870650'!B2</f>
        <v>5624</v>
      </c>
      <c r="F45">
        <v>3.65</v>
      </c>
      <c r="G45">
        <f>E45*F45</f>
        <v>20527.6</v>
      </c>
    </row>
    <row r="46">
      <c r="A46" t="str">
        <v xml:space="preserve">Dukhan Bank </v>
      </c>
      <c r="B46" t="str">
        <v>QFT</v>
      </c>
      <c r="C46">
        <v>100001870728</v>
      </c>
      <c r="D46" t="str">
        <v>USD</v>
      </c>
      <c r="E46">
        <f>+'QFT-100001870728'!B2</f>
        <v>76205</v>
      </c>
      <c r="F46">
        <v>3.65</v>
      </c>
      <c r="G46">
        <f>E46*F46</f>
        <v>278148.25</v>
      </c>
    </row>
    <row r="47">
      <c r="A47" t="str">
        <v xml:space="preserve">Dukhan Bank </v>
      </c>
      <c r="B47" t="str">
        <v>QFI</v>
      </c>
      <c r="C47">
        <v>100001870676</v>
      </c>
      <c r="D47" t="str">
        <v>USD</v>
      </c>
      <c r="E47">
        <v>0</v>
      </c>
      <c r="F47">
        <v>3.65</v>
      </c>
      <c r="G47">
        <v>0</v>
      </c>
      <c r="H47" t="str">
        <v>NO TRANSACTION FROM FEB-2026</v>
      </c>
    </row>
    <row r="48">
      <c r="A48" t="str">
        <v xml:space="preserve">Dukhan Bank </v>
      </c>
      <c r="B48" t="str">
        <v>QFM</v>
      </c>
      <c r="C48">
        <v>100001870618</v>
      </c>
      <c r="D48" t="str">
        <v>USD</v>
      </c>
      <c r="E48">
        <f>+'QFM-100001870618'!B2</f>
        <v>54684.56</v>
      </c>
      <c r="F48">
        <v>3.65</v>
      </c>
      <c r="G48">
        <f>E48*F48</f>
        <v>199598.644</v>
      </c>
    </row>
    <row r="49">
      <c r="A49" t="str">
        <v xml:space="preserve">Dukhan Bank </v>
      </c>
      <c r="B49" t="str">
        <v>USB</v>
      </c>
      <c r="C49">
        <v>100001870634</v>
      </c>
      <c r="D49" t="str">
        <v>USD</v>
      </c>
      <c r="E49">
        <f>+'USB-100001870634'!B2</f>
        <v>21046</v>
      </c>
      <c r="F49">
        <v>3.65</v>
      </c>
      <c r="G49">
        <f>E49*F49</f>
        <v>76817.9</v>
      </c>
    </row>
    <row r="50">
      <c r="A50" t="str">
        <v xml:space="preserve">Dukhan Bank </v>
      </c>
      <c r="B50" t="str">
        <v>QFI</v>
      </c>
      <c r="C50">
        <v>100001870692</v>
      </c>
      <c r="D50" t="str">
        <v>USD</v>
      </c>
      <c r="E50">
        <f>+'QFI-100001870692'!B2</f>
        <v>63791</v>
      </c>
      <c r="F50">
        <v>3.65</v>
      </c>
      <c r="G50">
        <f>E50*F50</f>
        <v>232837.15</v>
      </c>
    </row>
    <row r="51">
      <c r="A51" t="str">
        <v xml:space="preserve">Dukhan Bank </v>
      </c>
      <c r="B51" t="str">
        <v>ZAD</v>
      </c>
      <c r="C51">
        <v>100000484005</v>
      </c>
      <c r="D51" t="str">
        <v>USD</v>
      </c>
      <c r="E51">
        <f>+'ZAD-100000484005'!B2</f>
        <v>65396</v>
      </c>
      <c r="F51">
        <v>3.65</v>
      </c>
      <c r="G51">
        <f>E51*F51</f>
        <v>238695.4</v>
      </c>
    </row>
    <row r="52">
      <c r="A52" t="str">
        <v xml:space="preserve">Dukhan Bank </v>
      </c>
      <c r="B52" t="str">
        <v>USB</v>
      </c>
      <c r="C52">
        <v>100001870621</v>
      </c>
      <c r="D52" t="str">
        <v>EUR</v>
      </c>
      <c r="E52">
        <f>+'USB-100001870621'!B2</f>
        <v>65404</v>
      </c>
      <c r="F52">
        <v>4.1</v>
      </c>
      <c r="G52">
        <f>E52*F52</f>
        <v>268156.39999999997</v>
      </c>
    </row>
    <row r="53">
      <c r="A53" t="str">
        <v xml:space="preserve">Dukhan Bank </v>
      </c>
      <c r="B53" t="str">
        <v>QFI</v>
      </c>
      <c r="C53">
        <v>100001870663</v>
      </c>
      <c r="D53" t="str">
        <v>EUR</v>
      </c>
      <c r="E53">
        <v>0</v>
      </c>
      <c r="F53">
        <v>4.1</v>
      </c>
      <c r="G53">
        <v>0</v>
      </c>
      <c r="H53" t="str">
        <v>NO TRANSACTION FROM FEB-2026</v>
      </c>
    </row>
    <row r="54">
      <c r="A54" t="str">
        <v xml:space="preserve">Dukhan Bank </v>
      </c>
      <c r="B54" t="str">
        <v>QFI</v>
      </c>
      <c r="C54">
        <v>100001870689</v>
      </c>
      <c r="D54" t="str">
        <v>EUR</v>
      </c>
      <c r="E54">
        <f>+'QFI-100001870689'!B2</f>
        <v>5981</v>
      </c>
      <c r="F54">
        <v>4.1</v>
      </c>
      <c r="G54">
        <f>E54*F54</f>
        <v>24522.1</v>
      </c>
    </row>
    <row r="55">
      <c r="A55" t="str">
        <v xml:space="preserve">Dukhan Bank </v>
      </c>
      <c r="B55" t="str">
        <v>ACC</v>
      </c>
      <c r="C55">
        <v>100001870647</v>
      </c>
      <c r="D55" t="str">
        <v>EUR</v>
      </c>
      <c r="E55">
        <f>+'ACC-100001870647'!B2</f>
        <v>991</v>
      </c>
      <c r="F55">
        <v>4.1</v>
      </c>
      <c r="G55">
        <f>E55*F55</f>
        <v>4063.0999999999995</v>
      </c>
    </row>
    <row r="56">
      <c r="A56" t="str">
        <v xml:space="preserve">Dukhan Bank </v>
      </c>
      <c r="B56" t="str">
        <v>ZAD</v>
      </c>
      <c r="C56">
        <v>100000483996</v>
      </c>
      <c r="D56" t="str">
        <v>EUR</v>
      </c>
      <c r="E56">
        <v>0</v>
      </c>
      <c r="F56">
        <v>4.1</v>
      </c>
      <c r="G56">
        <v>0</v>
      </c>
      <c r="H56" t="str">
        <v>NO TRANSACTION FROM FEB-2026</v>
      </c>
    </row>
    <row r="57">
      <c r="A57" t="str">
        <v xml:space="preserve">Dukhan Bank </v>
      </c>
      <c r="B57" t="str">
        <v>QFM</v>
      </c>
      <c r="C57">
        <v>1000001870702</v>
      </c>
      <c r="D57" t="str">
        <v>CHF</v>
      </c>
      <c r="E57">
        <f>+'QFM-1000001870702'!B2</f>
        <v>11546</v>
      </c>
      <c r="F57">
        <v>4.1</v>
      </c>
      <c r="G57">
        <f>E57*F57</f>
        <v>47338.6</v>
      </c>
    </row>
    <row r="58">
      <c r="A58" t="str">
        <v xml:space="preserve">Dukhan Bank </v>
      </c>
      <c r="B58" t="str">
        <v>ZAD</v>
      </c>
      <c r="C58">
        <v>1000002781078</v>
      </c>
      <c r="D58" t="str">
        <v>CHF</v>
      </c>
      <c r="E58">
        <f>+'ZAD-1000002781078'!B2</f>
        <v>56564</v>
      </c>
      <c r="F58">
        <v>4.1</v>
      </c>
      <c r="G58">
        <f>E58*F58</f>
        <v>231912.4</v>
      </c>
    </row>
    <row r="60">
      <c r="A60" t="str">
        <v>AL RAYAN</v>
      </c>
      <c r="B60" t="str">
        <v>Al Rayan</v>
      </c>
      <c r="C60" t="str">
        <v>0003177700004</v>
      </c>
      <c r="D60" t="str">
        <v>USD</v>
      </c>
      <c r="E60">
        <f>+'ZAD-0003177700004'!B2</f>
        <v>70800</v>
      </c>
      <c r="F60">
        <v>3.65</v>
      </c>
      <c r="G60">
        <f>E60*F60</f>
        <v>258420</v>
      </c>
    </row>
    <row r="62">
      <c r="A62" t="str">
        <v>Mashreq</v>
      </c>
      <c r="B62" t="str">
        <v>ZAD</v>
      </c>
      <c r="C62">
        <v>19100425710</v>
      </c>
      <c r="E62">
        <v>0</v>
      </c>
      <c r="F62" t="str">
        <v>USD</v>
      </c>
      <c r="G62">
        <f>E62*3.65</f>
        <v>0</v>
      </c>
    </row>
    <row r="63">
      <c r="A63" t="str">
        <v>Mashreq</v>
      </c>
      <c r="B63" t="str">
        <v>ZAD</v>
      </c>
      <c r="C63">
        <v>19120001103</v>
      </c>
      <c r="E63">
        <f>+'ZAD-19120001103'!B2</f>
        <v>6942.78</v>
      </c>
      <c r="F63" t="str">
        <v>USD</v>
      </c>
      <c r="G63">
        <f>E63*3.65</f>
        <v>25341.146999999997</v>
      </c>
    </row>
    <row r="64">
      <c r="A64" t="str">
        <v>Mashreq</v>
      </c>
      <c r="B64" t="str">
        <v>ZAD</v>
      </c>
      <c r="C64">
        <v>19120046127</v>
      </c>
      <c r="E64">
        <v>0</v>
      </c>
      <c r="F64" t="str">
        <v>XAG</v>
      </c>
      <c r="G64">
        <f>E64*3.65</f>
        <v>0</v>
      </c>
    </row>
    <row r="65">
      <c r="A65" t="str">
        <f>A64</f>
        <v>Mashreq</v>
      </c>
    </row>
    <row r="66">
      <c r="B66" t="str">
        <v>QIB</v>
      </c>
    </row>
    <row r="69">
      <c r="A69" t="str">
        <v>UBS</v>
      </c>
      <c r="B69" t="str">
        <v>UBS &amp; HSBC</v>
      </c>
    </row>
    <row r="70">
      <c r="A70" t="str">
        <v>UBS</v>
      </c>
      <c r="B70" t="str">
        <v>ZAD</v>
      </c>
      <c r="C70" t="str">
        <v>USD A/C</v>
      </c>
      <c r="E70">
        <f>+'UBS - USD'!B2</f>
        <v>5470</v>
      </c>
      <c r="F70">
        <v>3.65</v>
      </c>
      <c r="G70">
        <f>E70*F70</f>
        <v>19965.5</v>
      </c>
    </row>
    <row r="71">
      <c r="A71" t="str">
        <v>UBS</v>
      </c>
      <c r="B71" t="str">
        <v>ZAD</v>
      </c>
      <c r="C71" t="str">
        <v>CAD A/C</v>
      </c>
      <c r="E71">
        <f>+'UBS - CAD'!B2</f>
        <v>2800</v>
      </c>
      <c r="F71">
        <v>2.75</v>
      </c>
      <c r="G71">
        <f>E71*F71</f>
        <v>7700</v>
      </c>
    </row>
    <row r="72">
      <c r="A72" t="str">
        <v>UBS</v>
      </c>
      <c r="B72" t="str">
        <v>ZAD</v>
      </c>
      <c r="C72" t="str">
        <v>AUD A/C</v>
      </c>
      <c r="F72">
        <v>2.35</v>
      </c>
      <c r="G72">
        <f>E72*F72</f>
        <v>0</v>
      </c>
    </row>
    <row r="73">
      <c r="A73" t="str">
        <v>HSBC</v>
      </c>
      <c r="B73" t="str">
        <v>ZAD</v>
      </c>
      <c r="C73" t="str">
        <v>USD A/C - HSBC</v>
      </c>
      <c r="E73">
        <f>+'HSBC - USD'!B2</f>
        <v>4060</v>
      </c>
      <c r="F73">
        <v>3.65</v>
      </c>
      <c r="G73">
        <f>E73*F73</f>
        <v>14819</v>
      </c>
    </row>
    <row r="74">
      <c r="A74" t="str">
        <v>HSBC</v>
      </c>
      <c r="B74" t="str">
        <v>ZAD</v>
      </c>
      <c r="C74" t="str">
        <v>CAD A/C - HSBC</v>
      </c>
      <c r="E74">
        <f>+'HSBC - CAD'!B2</f>
        <v>6400</v>
      </c>
      <c r="F74">
        <v>2.75</v>
      </c>
      <c r="G74">
        <f>E74*F74</f>
        <v>17600</v>
      </c>
    </row>
    <row r="76">
      <c r="B76" t="str">
        <v>Total</v>
      </c>
      <c r="G76">
        <f>SUM(G9:G75)</f>
        <v>7095650.211</v>
      </c>
    </row>
    <row r="79">
      <c r="B79" t="str">
        <v>QAR CURRENCY</v>
      </c>
    </row>
    <row r="80">
      <c r="B80" t="str">
        <v>UNIT</v>
      </c>
      <c r="C80" t="str">
        <v>AMOUNT</v>
      </c>
    </row>
    <row r="81">
      <c r="B81" t="str">
        <v>ZAD</v>
      </c>
      <c r="C81">
        <f>SUMIFS('1. Funds position'!$G$9:$G$74,'1. Funds position'!$B$9:$B$74,B81)/10^6</f>
        <v>5.026102447</v>
      </c>
    </row>
    <row r="82">
      <c r="B82" t="str">
        <v>QFI</v>
      </c>
      <c r="C82">
        <f>SUMIFS('1. Funds position'!$G$9:$G$74,'1. Funds position'!$B$9:$B$74,B82)/10^6</f>
        <v>0.39374425</v>
      </c>
    </row>
    <row r="83">
      <c r="B83" t="str">
        <v>USB</v>
      </c>
      <c r="C83">
        <f>SUMIFS('1. Funds position'!$G$9:$G$74,'1. Funds position'!$B$9:$B$74,B83)/10^6</f>
        <v>0.40519556999999995</v>
      </c>
    </row>
    <row r="84">
      <c r="B84" t="str">
        <v>ACC</v>
      </c>
      <c r="C84">
        <f>SUMIFS('1. Funds position'!$G$9:$G$74,'1. Funds position'!$B$9:$B$74,B84)/10^6</f>
        <v>0.06710569999999999</v>
      </c>
    </row>
    <row r="85">
      <c r="B85" t="str">
        <v>GUC</v>
      </c>
      <c r="C85">
        <f>SUMIFS('1. Funds position'!$G$9:$G$74,'1. Funds position'!$B$9:$B$74,B85)/10^6+0.8</f>
        <v>0.8335490000000001</v>
      </c>
    </row>
    <row r="86">
      <c r="B86" t="str">
        <v>TOTAL</v>
      </c>
      <c r="C86">
        <f>SUM(C81:C85)</f>
        <v>6.725696967000001</v>
      </c>
    </row>
    <row r="90">
      <c r="B90" t="str">
        <v>BANK NAME</v>
      </c>
      <c r="C90" t="str">
        <v>AMOUNT</v>
      </c>
    </row>
    <row r="91">
      <c r="B91" t="str">
        <v>Doha</v>
      </c>
      <c r="C91">
        <f>SUMIFS('1. Funds position'!$G$9:$G$74,'1. Funds position'!$A$9:$A$74,"Doha Bank ")/10^6</f>
        <v>2.877749</v>
      </c>
    </row>
    <row r="92">
      <c r="B92" t="str">
        <v>Dukhan</v>
      </c>
      <c r="C92">
        <f>SUMIFS('1. Funds position'!$G$9:$G$42,'1. Funds position'!$A$9:$A$42,"Dukhan Bank ")/10^6</f>
        <v>1.07799227</v>
      </c>
    </row>
    <row r="93">
      <c r="B93" t="str">
        <v>MAR</v>
      </c>
      <c r="C93">
        <f>SUMIFS('1. Funds position'!$G$9:$G$74,'1. Funds position'!$A$9:$A$74,"Al Rayan")/10^6</f>
        <v>0.686846</v>
      </c>
    </row>
    <row r="94">
      <c r="B94" t="str">
        <v>Mashreq</v>
      </c>
      <c r="C94">
        <f>SUMIFS('1. Funds position'!$G$9:$G$74,'1. Funds position'!$A$9:$A$74,"Mashreq")/10^6</f>
        <v>0.683919147</v>
      </c>
    </row>
    <row r="95">
      <c r="B95" t="str">
        <v>QIB</v>
      </c>
      <c r="C95">
        <f>SUMIFS('1. Funds position'!$G$9:$G$74,'1. Funds position'!$A$9:$A$74,"QIB")/10^6</f>
        <v>0.034557</v>
      </c>
    </row>
    <row r="96">
      <c r="B96" t="str">
        <v>HSBC</v>
      </c>
      <c r="C96">
        <f>SUMIFS('1. Funds position'!$G$9:$G$74,'1. Funds position'!$A$9:$A$74,"HSBC")/10^6</f>
        <v>0.032419</v>
      </c>
    </row>
    <row r="97">
      <c r="B97" t="str">
        <v>UBS</v>
      </c>
      <c r="C97">
        <f>SUMIFS('1. Funds position'!$G$9:$G$74,'1. Funds position'!$A$9:$A$74,"UBS")/10^6</f>
        <v>0.0276655</v>
      </c>
    </row>
    <row r="98">
      <c r="C98">
        <f>SUM(C91:C97)</f>
        <v>5.421147917000001</v>
      </c>
    </row>
    <row r="102">
      <c r="B102" t="str">
        <v>BANK NAME</v>
      </c>
      <c r="C102" t="str">
        <v>AMOUNT</v>
      </c>
    </row>
    <row r="103">
      <c r="B103" t="str">
        <v>Dukhan</v>
      </c>
      <c r="C103">
        <f>SUMIFS('1. Funds position'!$E$44:$E$74,'1. Funds position'!$A$44:$A$74,"Dukhan Bank ")/10^6</f>
        <v>0.44144756</v>
      </c>
    </row>
    <row r="104">
      <c r="B104" t="str">
        <v>Mashreq</v>
      </c>
      <c r="C104">
        <f>SUMIFS('1. Funds position'!$E$44:$E$74,'1. Funds position'!$A$44:$A$74,"Mashreq")/10^6</f>
        <v>0.00694278</v>
      </c>
    </row>
    <row r="105">
      <c r="B105" t="str">
        <v>UBS</v>
      </c>
      <c r="C105">
        <f>SUMIFS('1. Funds position'!$E$44:$E$74,'1. Funds position'!$A$44:$A$74,"UBS")/10^6</f>
        <v>0.00827</v>
      </c>
    </row>
    <row r="106">
      <c r="B106" t="str">
        <v>HSBC</v>
      </c>
      <c r="C106">
        <f>SUMIFS('1. Funds position'!$E$44:$E$74,'1. Funds position'!$A$44:$A$74,"HSBC")/10^6</f>
        <v>0.01046</v>
      </c>
    </row>
    <row r="107">
      <c r="B107" t="str">
        <v>MAR</v>
      </c>
      <c r="C107">
        <f>SUMIFS('1. Funds position'!$E$44:$E$74,'1. Funds position'!$A$44:$A$74,"AL RAYAN")/10^6</f>
        <v>0.0708</v>
      </c>
    </row>
    <row r="108">
      <c r="C108">
        <f>SUM(C103:C107)</f>
        <v>0.53792034</v>
      </c>
    </row>
    <row r="111">
      <c r="B111" t="str">
        <v>Breakdown of bank balance:</v>
      </c>
    </row>
    <row r="115">
      <c r="B115" t="str">
        <v>Bank balance as on date</v>
      </c>
      <c r="C115">
        <f>+G76/10^6</f>
        <v>7.095650211</v>
      </c>
    </row>
    <row r="116">
      <c r="B116" t="str">
        <v>Liquidity reserve (FD)</v>
      </c>
      <c r="C116">
        <v>-5</v>
      </c>
    </row>
    <row r="117">
      <c r="B117" t="str">
        <v xml:space="preserve">Reserved working capital </v>
      </c>
      <c r="C117">
        <v>-2</v>
      </c>
    </row>
    <row r="118">
      <c r="B118" t="str">
        <v>Remaining amount</v>
      </c>
      <c r="C118">
        <f>SUM(C115:C117)</f>
        <v>0.09565021099999971</v>
      </c>
    </row>
    <row r="120">
      <c r="B120" t="str">
        <v>Note: This section will be updated manually.</v>
      </c>
    </row>
  </sheetData>
  <mergeCells count="3">
    <mergeCell ref="B79:C79"/>
    <mergeCell ref="B111:C113"/>
    <mergeCell ref="B120:C121"/>
  </mergeCells>
  <pageMargins left="0.7" right="0.7" top="0.75" bottom="0.75" header="0.3" footer="0.3"/>
  <ignoredErrors>
    <ignoredError numberStoredAsText="1" sqref="A1:J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Funds 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