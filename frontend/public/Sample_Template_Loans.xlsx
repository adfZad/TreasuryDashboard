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4. Lo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43" formatCode="_(* #,##0.00_);_(* \(#,##0.00\);_(* &quot;-&quot;??_);_(@_)"/>
    <numFmt numFmtId="56" formatCode="&quot;上午/下午 &quot;hh&quot;時&quot;mm&quot;分&quot;ss&quot;秒 &quot;"/>
    <numFmt numFmtId="164" formatCode="_(* #,##0.000_);_(* \(#,##0.000\);_(* &quot;-&quot;??_);_(@_)"/>
    <numFmt numFmtId="165" formatCode="_(* #,##0_);_(* \(#,##0\);_(* &quot;-&quot;??_);_(@_)"/>
    <numFmt numFmtId="166" formatCode="0.0"/>
    <numFmt numFmtId="167" formatCode="_(* #,##0.0_);_(* \(#,##0.0\);_(* &quot;-&quot;??_);_(@_)"/>
    <numFmt numFmtId="168" formatCode="0.000"/>
    <numFmt numFmtId="169" formatCode="_(* #,##0.0_);_(* \(#,##0.0\);_(* &quot;-&quot;?_);_(@_)"/>
    <numFmt numFmtId="170" formatCode="_-* #,##0.00_-;\-* #,##0.00_-;_-* &quot;-&quot;??_-;_-@_-"/>
    <numFmt numFmtId="171" formatCode="dd\.mm\.yyyy;@"/>
    <numFmt numFmtId="172" formatCode="dd/mm/yyyy;@"/>
    <numFmt numFmtId="173" formatCode="0000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41"/>
  <sheetViews>
    <sheetView workbookViewId="0"/>
  </sheetViews>
  <sheetData>
    <row r="1">
      <c r="B1" t="str">
        <v>Guideline:</v>
      </c>
    </row>
    <row r="2">
      <c r="B2" t="str">
        <v>The below information is extracted from Loan summary document &amp; loan repayment schedule.</v>
      </c>
    </row>
    <row r="3">
      <c r="B3" t="str">
        <f>+'3. Working capital'!A3</f>
        <v>Blue fields only to be updated</v>
      </c>
    </row>
    <row r="4">
      <c r="B4" t="str">
        <v>Data updation timeline: Reviewed &amp; updated every working day by 9 am.</v>
      </c>
    </row>
    <row r="8">
      <c r="B8" t="str">
        <v>SHORT TERM LOAN  - REPAYMENT SCHEDULE &amp; CURRENT OUTSTANDING</v>
      </c>
    </row>
    <row r="9">
      <c r="C9" t="str">
        <v>Repayment</v>
      </c>
    </row>
    <row r="10">
      <c r="B10" t="str">
        <v>Bank</v>
      </c>
      <c r="C10">
        <v>46265</v>
      </c>
      <c r="D10">
        <v>46295</v>
      </c>
      <c r="E10">
        <v>46326</v>
      </c>
      <c r="F10" t="str">
        <v>Total O/S</v>
      </c>
    </row>
    <row r="11">
      <c r="B11" t="str">
        <v>QIB</v>
      </c>
      <c r="C11">
        <v>0</v>
      </c>
      <c r="D11">
        <v>0</v>
      </c>
      <c r="E11">
        <v>0</v>
      </c>
      <c r="F11">
        <v>0</v>
      </c>
      <c r="G11" t="str">
        <v>QIB @ 4%</v>
      </c>
    </row>
    <row r="12">
      <c r="B12" t="str">
        <v>Mashreq</v>
      </c>
      <c r="C12">
        <v>0</v>
      </c>
      <c r="D12">
        <v>0</v>
      </c>
      <c r="E12">
        <v>0</v>
      </c>
      <c r="F12">
        <f>+'3. Working capital'!D76</f>
        <v>70</v>
      </c>
      <c r="G12" t="str">
        <v>Mashreq @ 4%</v>
      </c>
    </row>
    <row r="13">
      <c r="B13" t="str">
        <v>UBS</v>
      </c>
      <c r="C13">
        <v>2</v>
      </c>
      <c r="D13">
        <v>0</v>
      </c>
      <c r="E13">
        <v>0</v>
      </c>
      <c r="F13">
        <v>25</v>
      </c>
      <c r="G13" t="str">
        <v>UBS @ 4%</v>
      </c>
    </row>
    <row r="14">
      <c r="B14" t="str">
        <v>Dukhan</v>
      </c>
      <c r="C14">
        <v>2</v>
      </c>
      <c r="D14">
        <v>2</v>
      </c>
      <c r="E14">
        <v>2</v>
      </c>
      <c r="F14">
        <v>20</v>
      </c>
      <c r="G14" t="str">
        <v>Dukhan @ 4%</v>
      </c>
    </row>
    <row r="15">
      <c r="B15" t="str">
        <v>Al Rayan</v>
      </c>
      <c r="C15">
        <v>0</v>
      </c>
      <c r="D15">
        <v>0</v>
      </c>
      <c r="E15">
        <v>0</v>
      </c>
      <c r="F15">
        <v>10</v>
      </c>
      <c r="G15" t="str">
        <v xml:space="preserve"> Al Rayan @ 4%</v>
      </c>
    </row>
    <row r="16">
      <c r="B16" t="str">
        <v>Total</v>
      </c>
      <c r="C16">
        <f>SUM(C11:C15)</f>
        <v>4</v>
      </c>
      <c r="D16">
        <f>SUM(D11:D15)</f>
        <v>2</v>
      </c>
      <c r="E16">
        <f>SUM(E11:E15)</f>
        <v>2</v>
      </c>
      <c r="F16">
        <f>SUM(F11:F15)</f>
        <v>125</v>
      </c>
      <c r="G16" t="str">
        <v>Total</v>
      </c>
    </row>
    <row r="19">
      <c r="B19" t="str">
        <v>Details of Long term loans (in QAR millions)</v>
      </c>
      <c r="I19" t="str">
        <v>Paid till 2025</v>
      </c>
      <c r="J19" t="str">
        <v>Paid during YTD 2026</v>
      </c>
      <c r="K19" t="str">
        <v>Balance outstanding</v>
      </c>
      <c r="L19" t="str">
        <v>Repayment schedule  of balance outstanding</v>
      </c>
    </row>
    <row r="20" xml:space="preserve">
      <c r="B20" t="str">
        <v>Bank</v>
      </c>
      <c r="C20" t="str">
        <v>Loan description</v>
      </c>
      <c r="D20" t="str">
        <v>Loan amount</v>
      </c>
      <c r="E20" t="str">
        <v>Tenure</v>
      </c>
      <c r="F20" t="str">
        <v>Start date</v>
      </c>
      <c r="G20" t="str">
        <v>End date</v>
      </c>
      <c r="H20" t="str" xml:space="preserve">
        <v xml:space="preserve">Installment_x000d_
frequency</v>
      </c>
      <c r="L20">
        <v>2026</v>
      </c>
      <c r="M20">
        <f>+L20+1</f>
        <v>2027</v>
      </c>
      <c r="N20">
        <f>+M20+1</f>
        <v>2028</v>
      </c>
      <c r="O20">
        <f>+N20+1</f>
        <v>2029</v>
      </c>
      <c r="P20">
        <f>+O20+1</f>
        <v>2030</v>
      </c>
      <c r="Q20">
        <f>+P20+1</f>
        <v>2031</v>
      </c>
      <c r="R20">
        <f>+Q20+1</f>
        <v>2032</v>
      </c>
      <c r="S20">
        <f>+R20+1</f>
        <v>2033</v>
      </c>
      <c r="T20">
        <f>+S20+1</f>
        <v>2034</v>
      </c>
      <c r="U20" t="str">
        <v>2035-2038</v>
      </c>
    </row>
    <row r="21" xml:space="preserve">
      <c r="B21" t="str" xml:space="preserve">
        <v xml:space="preserve">Mashreq Al Islami_x000d_
(MAI)</v>
      </c>
      <c r="C21" t="str">
        <v>MAI # 1</v>
      </c>
      <c r="D21">
        <v>100</v>
      </c>
      <c r="E21" t="str">
        <v>8 years</v>
      </c>
      <c r="F21">
        <v>44383</v>
      </c>
      <c r="G21">
        <v>47263</v>
      </c>
      <c r="H21" t="str">
        <v>Quarterly</v>
      </c>
      <c r="I21">
        <v>50</v>
      </c>
      <c r="J21">
        <v>8</v>
      </c>
      <c r="K21">
        <f>+D21-I21-J21</f>
        <v>42</v>
      </c>
      <c r="L21">
        <v>5</v>
      </c>
      <c r="M21">
        <v>10</v>
      </c>
      <c r="N21">
        <f>+M21</f>
        <v>10</v>
      </c>
      <c r="O21">
        <v>17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f>K21-SUM(L21:U21)</f>
        <v>0</v>
      </c>
    </row>
    <row r="22">
      <c r="B22" t="str">
        <v>UBS</v>
      </c>
      <c r="C22" t="str">
        <v>UBS # 1</v>
      </c>
      <c r="D22">
        <f>+D21+25</f>
        <v>125</v>
      </c>
      <c r="E22" t="str">
        <v>5 years</v>
      </c>
      <c r="F22">
        <v>44888</v>
      </c>
      <c r="G22">
        <v>46703</v>
      </c>
      <c r="H22" t="str">
        <v>Half yearly</v>
      </c>
      <c r="I22">
        <v>50</v>
      </c>
      <c r="J22">
        <v>15</v>
      </c>
      <c r="K22">
        <f>+D22-I22-J22</f>
        <v>60</v>
      </c>
      <c r="L22">
        <v>26.1</v>
      </c>
      <c r="M22">
        <v>33.9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f>K22-SUM(L22:U22)</f>
        <v>0</v>
      </c>
    </row>
    <row r="23">
      <c r="B23" t="str">
        <v>Dukhan bank (DUK)</v>
      </c>
      <c r="C23" t="str">
        <v>DUK # 1</v>
      </c>
      <c r="D23">
        <f>+D22+25</f>
        <v>150</v>
      </c>
      <c r="E23" t="str">
        <v>8 years</v>
      </c>
      <c r="F23">
        <v>45029</v>
      </c>
      <c r="G23">
        <v>47951</v>
      </c>
      <c r="H23" t="str">
        <v>Monthly</v>
      </c>
      <c r="I23">
        <v>30</v>
      </c>
      <c r="J23">
        <v>3</v>
      </c>
      <c r="K23">
        <f>+D23-I23-J23</f>
        <v>117</v>
      </c>
      <c r="L23">
        <v>7</v>
      </c>
      <c r="M23">
        <v>20</v>
      </c>
      <c r="N23">
        <f>+M23</f>
        <v>20</v>
      </c>
      <c r="O23">
        <f>+N23</f>
        <v>20</v>
      </c>
      <c r="P23">
        <f>+O23</f>
        <v>20</v>
      </c>
      <c r="Q23">
        <v>30</v>
      </c>
      <c r="R23">
        <v>0</v>
      </c>
      <c r="S23">
        <v>0</v>
      </c>
      <c r="T23">
        <v>0</v>
      </c>
      <c r="U23">
        <v>0</v>
      </c>
      <c r="V23">
        <f>K23-SUM(L23:U23)</f>
        <v>0</v>
      </c>
    </row>
    <row r="24" xml:space="preserve">
      <c r="B24" t="str" xml:space="preserve">
        <v xml:space="preserve">Mashreq Al Islami_x000d_
(MAI)</v>
      </c>
      <c r="C24" t="str">
        <v>MAI # 2</v>
      </c>
      <c r="D24">
        <f>+D23+25</f>
        <v>175</v>
      </c>
      <c r="E24" t="str">
        <v>7 years</v>
      </c>
      <c r="F24">
        <v>46037</v>
      </c>
      <c r="G24">
        <v>12067</v>
      </c>
      <c r="H24" t="str">
        <v>Quarterly</v>
      </c>
      <c r="I24">
        <v>0</v>
      </c>
      <c r="J24">
        <v>0</v>
      </c>
      <c r="K24">
        <f>+D24-I24-J24</f>
        <v>175</v>
      </c>
      <c r="L24">
        <f>6.17*2</f>
        <v>12.34</v>
      </c>
      <c r="M24">
        <v>20</v>
      </c>
      <c r="N24">
        <f>+M24</f>
        <v>20</v>
      </c>
      <c r="O24">
        <f>+N24</f>
        <v>20</v>
      </c>
      <c r="P24">
        <f>+O24</f>
        <v>20</v>
      </c>
      <c r="Q24">
        <f>+P24</f>
        <v>20</v>
      </c>
      <c r="R24">
        <f>+Q24</f>
        <v>20</v>
      </c>
      <c r="S24">
        <v>42.7</v>
      </c>
      <c r="T24">
        <v>0</v>
      </c>
      <c r="U24">
        <v>0</v>
      </c>
      <c r="V24">
        <f>K24-SUM(L24:U24)</f>
        <v>-0.040000000000020464</v>
      </c>
    </row>
    <row r="25">
      <c r="B25" t="str">
        <v>Dukhan bank (DUK)</v>
      </c>
      <c r="C25" t="str">
        <v>DUK # 2</v>
      </c>
      <c r="D25">
        <v>100</v>
      </c>
      <c r="E25" t="str">
        <v>8 years</v>
      </c>
      <c r="F25">
        <v>46197</v>
      </c>
      <c r="G25">
        <v>49119</v>
      </c>
      <c r="H25" t="str">
        <v>Quarterly</v>
      </c>
      <c r="I25">
        <v>0</v>
      </c>
      <c r="J25">
        <v>0</v>
      </c>
      <c r="K25">
        <f>+D25-I25-J25</f>
        <v>100</v>
      </c>
      <c r="L25">
        <v>0</v>
      </c>
      <c r="M25">
        <v>5</v>
      </c>
      <c r="N25">
        <v>11.5</v>
      </c>
      <c r="O25">
        <f>+N25</f>
        <v>11.5</v>
      </c>
      <c r="P25">
        <f>+O25</f>
        <v>11.5</v>
      </c>
      <c r="Q25">
        <f>+P25</f>
        <v>11.5</v>
      </c>
      <c r="R25">
        <f>+Q25</f>
        <v>11.5</v>
      </c>
      <c r="S25">
        <f>+R25</f>
        <v>11.5</v>
      </c>
      <c r="T25">
        <v>26</v>
      </c>
      <c r="U25">
        <v>0</v>
      </c>
      <c r="V25">
        <f>K25-SUM(L25:U25)</f>
        <v>0</v>
      </c>
    </row>
    <row r="26">
      <c r="C26" t="str">
        <v>Total</v>
      </c>
      <c r="D26">
        <f>SUM(D21:D25)</f>
        <v>650</v>
      </c>
      <c r="I26">
        <f>SUM(I21:I25)</f>
        <v>130</v>
      </c>
      <c r="J26">
        <f>SUM(J21:J25)</f>
        <v>26</v>
      </c>
      <c r="K26">
        <f>SUM(K21:K25)</f>
        <v>494</v>
      </c>
      <c r="L26">
        <f>SUM(L21:L25)</f>
        <v>50.44</v>
      </c>
      <c r="M26">
        <f>SUM(M21:M25)</f>
        <v>88.9</v>
      </c>
      <c r="N26">
        <f>SUM(N21:N25)</f>
        <v>61.5</v>
      </c>
      <c r="O26">
        <f>SUM(O21:O25)</f>
        <v>68.5</v>
      </c>
      <c r="P26">
        <f>SUM(P21:P25)</f>
        <v>51.5</v>
      </c>
      <c r="Q26">
        <f>SUM(Q21:Q25)</f>
        <v>61.5</v>
      </c>
      <c r="R26">
        <f>SUM(R21:R25)</f>
        <v>31.5</v>
      </c>
      <c r="S26">
        <f>SUM(S21:S25)</f>
        <v>54.2</v>
      </c>
      <c r="T26">
        <f>SUM(T21:T25)</f>
        <v>26</v>
      </c>
      <c r="U26">
        <f>SUM(U21:U25)</f>
        <v>0</v>
      </c>
    </row>
    <row r="27">
      <c r="B27" t="str">
        <v>New long term loan:</v>
      </c>
    </row>
    <row r="28">
      <c r="B28" t="str">
        <v>Dukhan bank (DUK)</v>
      </c>
      <c r="C28" t="str">
        <v>*DUK # 3</v>
      </c>
      <c r="D28">
        <v>100</v>
      </c>
      <c r="E28" t="str">
        <v>12 years</v>
      </c>
      <c r="F28">
        <v>46252</v>
      </c>
      <c r="G28">
        <f>+F28+12*30+5</f>
        <v>46617</v>
      </c>
      <c r="H28" t="str">
        <v>Quarterly</v>
      </c>
      <c r="I28">
        <v>0</v>
      </c>
      <c r="J28">
        <v>0</v>
      </c>
      <c r="K28">
        <f>+D28-I28-J28</f>
        <v>100</v>
      </c>
      <c r="L28">
        <v>0</v>
      </c>
      <c r="M28">
        <v>0</v>
      </c>
      <c r="N28">
        <v>2.05</v>
      </c>
      <c r="O28">
        <v>8.2</v>
      </c>
      <c r="P28">
        <f>+O28</f>
        <v>8.2</v>
      </c>
      <c r="Q28">
        <f>+P28</f>
        <v>8.2</v>
      </c>
      <c r="R28">
        <f>+Q28</f>
        <v>8.2</v>
      </c>
      <c r="S28">
        <f>+R28</f>
        <v>8.2</v>
      </c>
      <c r="T28">
        <f>+S28</f>
        <v>8.2</v>
      </c>
      <c r="U28">
        <v>48.8</v>
      </c>
      <c r="V28">
        <f>K28-SUM(L28:U28)</f>
        <v>-0.04999999999999716</v>
      </c>
    </row>
    <row r="29">
      <c r="B29" t="str">
        <v>Total including new LTL</v>
      </c>
      <c r="D29">
        <f>SUM(D26:D28)</f>
        <v>750</v>
      </c>
      <c r="I29">
        <f>SUM(I26:I28)</f>
        <v>130</v>
      </c>
      <c r="J29">
        <f>SUM(J26:J28)</f>
        <v>26</v>
      </c>
      <c r="K29">
        <f>SUM(K26:K28)</f>
        <v>594</v>
      </c>
      <c r="L29">
        <f>SUM(L26:L28)</f>
        <v>50.44</v>
      </c>
      <c r="M29">
        <f>SUM(M26:M28)</f>
        <v>88.9</v>
      </c>
      <c r="N29">
        <f>SUM(N26:N28)</f>
        <v>63.55</v>
      </c>
      <c r="O29">
        <f>SUM(O26:O28)</f>
        <v>76.7</v>
      </c>
      <c r="P29">
        <f>SUM(P26:P28)</f>
        <v>59.7</v>
      </c>
      <c r="Q29">
        <f>SUM(Q26:Q28)</f>
        <v>69.7</v>
      </c>
      <c r="R29">
        <f>SUM(R26:R28)</f>
        <v>39.7</v>
      </c>
      <c r="S29">
        <f>SUM(S26:S28)</f>
        <v>62.400000000000006</v>
      </c>
      <c r="T29">
        <f>SUM(T26:T28)</f>
        <v>34.2</v>
      </c>
      <c r="U29">
        <f>SUM(U26:U28)</f>
        <v>48.8</v>
      </c>
    </row>
    <row r="32">
      <c r="E32" t="str">
        <v>Dukhan  # 1</v>
      </c>
      <c r="F32" t="str">
        <v>Mashreq Al Islami # 1</v>
      </c>
      <c r="G32" t="str">
        <v>UBS</v>
      </c>
      <c r="H32" t="str">
        <v>Mashreq Al Islami # 2</v>
      </c>
      <c r="I32" t="str">
        <v>Dukhan  # 2</v>
      </c>
    </row>
    <row r="33">
      <c r="B33" t="str">
        <v>Q1-2026</v>
      </c>
      <c r="C33">
        <f>(E33+F33+G33+H33+I33)/10^6</f>
        <v>1.8482821609016655</v>
      </c>
      <c r="E33">
        <f>168674.69879518*3</f>
        <v>506024.09638554003</v>
      </c>
      <c r="F33">
        <f>367741.93548387*3.65</f>
        <v>1342258.0645161255</v>
      </c>
    </row>
    <row r="34">
      <c r="B34" t="str">
        <v>Q2-2026</v>
      </c>
      <c r="C34">
        <f>(E34+F34+G34+H34+I34)/10^6</f>
        <v>2.1092571609016657</v>
      </c>
      <c r="E34">
        <f>168674.69879518*3</f>
        <v>506024.09638554003</v>
      </c>
      <c r="F34">
        <f>367741.93548387*3.65</f>
        <v>1342258.0645161255</v>
      </c>
      <c r="G34">
        <v>260975</v>
      </c>
    </row>
    <row r="35">
      <c r="B35" t="str">
        <v>Q3-2026 (remaining)</v>
      </c>
      <c r="C35">
        <f>(E35+F35+G35+H35+I35)/10^6</f>
        <v>1.8482821609016655</v>
      </c>
      <c r="E35">
        <f>168674.69879518*3</f>
        <v>506024.09638554003</v>
      </c>
      <c r="F35">
        <f>367741.93548387*3.65</f>
        <v>1342258.0645161255</v>
      </c>
    </row>
    <row r="36">
      <c r="B36" t="str">
        <v>Q4-2026</v>
      </c>
      <c r="C36">
        <f>(E36+F36+G36+H36+I36)/10^6</f>
        <v>4.627757160901666</v>
      </c>
      <c r="E36">
        <f>168674.69879518*3</f>
        <v>506024.09638554003</v>
      </c>
      <c r="F36">
        <f>367741.93548387*3.65</f>
        <v>1342258.0645161255</v>
      </c>
      <c r="G36">
        <f>+G34</f>
        <v>260975</v>
      </c>
      <c r="H36">
        <f>690000*3.65</f>
        <v>2518500</v>
      </c>
    </row>
    <row r="37">
      <c r="B37" t="str">
        <v>Q1-2027</v>
      </c>
      <c r="C37">
        <f>(E37+F37+G37+H37+I37)/10^6</f>
        <v>4.366782160901666</v>
      </c>
      <c r="E37">
        <f>168674.69879518*3</f>
        <v>506024.09638554003</v>
      </c>
      <c r="F37">
        <f>367741.93548387*3.65</f>
        <v>1342258.0645161255</v>
      </c>
      <c r="H37">
        <f>690000*3.65</f>
        <v>2518500</v>
      </c>
    </row>
    <row r="38">
      <c r="B38" t="str">
        <v>Q2-2027</v>
      </c>
      <c r="C38">
        <f>(E38+F38+G38+H38+I38)/10^6</f>
        <v>4.627757160901666</v>
      </c>
      <c r="E38">
        <f>168674.69879518*3</f>
        <v>506024.09638554003</v>
      </c>
      <c r="F38">
        <f>367741.93548387*3.65</f>
        <v>1342258.0645161255</v>
      </c>
      <c r="G38">
        <f>+G36</f>
        <v>260975</v>
      </c>
      <c r="H38">
        <f>690000*3.65</f>
        <v>2518500</v>
      </c>
    </row>
    <row r="39">
      <c r="B39" t="str">
        <v>Q3-2027</v>
      </c>
      <c r="C39">
        <f>(E39+F39+G39+H39+I39)/10^6</f>
        <v>5.351967346086856</v>
      </c>
      <c r="E39">
        <f>168674.69879518*3</f>
        <v>506024.09638554003</v>
      </c>
      <c r="F39">
        <f>367741.93548387*3.65</f>
        <v>1342258.0645161255</v>
      </c>
      <c r="H39">
        <f>690000*3.65</f>
        <v>2518500</v>
      </c>
      <c r="I39">
        <v>985185.18518519</v>
      </c>
    </row>
    <row r="40">
      <c r="B40" t="str">
        <v>Q4-2027</v>
      </c>
      <c r="C40">
        <f>(E40+F40+G40+H40+I40)/10^6</f>
        <v>5.612942346086856</v>
      </c>
      <c r="E40">
        <f>168674.69879518*3</f>
        <v>506024.09638554003</v>
      </c>
      <c r="F40">
        <f>367741.93548387*3.65</f>
        <v>1342258.0645161255</v>
      </c>
      <c r="G40">
        <f>+G38</f>
        <v>260975</v>
      </c>
      <c r="H40">
        <f>690000*3.65</f>
        <v>2518500</v>
      </c>
      <c r="I40">
        <v>985185.18518519</v>
      </c>
    </row>
    <row r="41">
      <c r="E41">
        <f>SUM(E37:E40)/10^6</f>
        <v>2.02409638554216</v>
      </c>
      <c r="F41">
        <f>SUM(F37:F40)/10^6</f>
        <v>5.369032258064502</v>
      </c>
      <c r="G41">
        <f>SUM(G37:G40)/10^6</f>
        <v>0.52195</v>
      </c>
      <c r="H41">
        <f>SUM(H37:H40)/10^6</f>
        <v>10.074</v>
      </c>
      <c r="I41">
        <f>SUM(I37:I40)/10^6</f>
        <v>1.97037037037038</v>
      </c>
    </row>
  </sheetData>
  <mergeCells count="5">
    <mergeCell ref="B19:H19"/>
    <mergeCell ref="I19:I20"/>
    <mergeCell ref="J19:J20"/>
    <mergeCell ref="K19:K20"/>
    <mergeCell ref="L19:U19"/>
  </mergeCells>
  <pageMargins left="0.7" right="0.7" top="0.75" bottom="0.75" header="0.3" footer="0.3"/>
  <ignoredErrors>
    <ignoredError numberStoredAsText="1" sqref="B1:V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 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